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rack 1 - Program Banks" sheetId="2" state="visible" r:id="rId4"/>
    <sheet name="Track 2 - Middleware" sheetId="3" state="visible" r:id="rId5"/>
    <sheet name="Track 3 - CDFI MDI" sheetId="4" state="visible" r:id="rId6"/>
    <sheet name="Do Not Approach" sheetId="5" state="visible" r:id="rId7"/>
    <sheet name="Outreach Channels" sheetId="6" state="visible" r:id="rId8"/>
    <sheet name="First Call Questions" sheetId="7" state="visible" r:id="rId9"/>
    <sheet name="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<sst xmlns="http://schemas.openxmlformats.org/spreadsheetml/2006/main" count="608" uniqueCount="452">
  <si>
    <t xml:space="preserve">Puente — Bank Partnership Target Tracker</t>
  </si>
  <si>
    <t xml:space="preserve">Prepared 12 August 2026. Companion to puente-bank-partnership-strategy.md</t>
  </si>
  <si>
    <t xml:space="preserve">HOW TO USE</t>
  </si>
  <si>
    <t xml:space="preserve">Fill only the yellow columns: Owner, Status, Last Contact, Next Step, Next Step Date, Notes.</t>
  </si>
  <si>
    <t xml:space="preserve">Everything else is research output — overwrite it if you learn better.</t>
  </si>
  <si>
    <t xml:space="preserve">Each target tab has one example row at the bottom showing the expected format. Delete it once you start.</t>
  </si>
  <si>
    <t xml:space="preserve">TABS</t>
  </si>
  <si>
    <t xml:space="preserve">Track 1 - Program Banks</t>
  </si>
  <si>
    <t xml:space="preserve">Banks already running fintech programs. Fastest route to live.</t>
  </si>
  <si>
    <t xml:space="preserve">Track 2 - Middleware</t>
  </si>
  <si>
    <t xml:space="preserve">BaaS platforms and infrastructure. Fastest to market, worse economics.</t>
  </si>
  <si>
    <t xml:space="preserve">Track 3 - CDFI MDI</t>
  </si>
  <si>
    <t xml:space="preserve">Mission-aligned institutions. Slower, durable, doubles as a fundraising asset.</t>
  </si>
  <si>
    <t xml:space="preserve">Do Not Approach</t>
  </si>
  <si>
    <t xml:space="preserve">Regulatory or viability problems. Documented so you don't rediscover them.</t>
  </si>
  <si>
    <t xml:space="preserve">Outreach Channels</t>
  </si>
  <si>
    <t xml:space="preserve">Accelerators, conferences, consultants and networks — your substitute for warm intros.</t>
  </si>
  <si>
    <t xml:space="preserve">First Call Questions</t>
  </si>
  <si>
    <t xml:space="preserve">The qualifying script. Ask these before investing time in any candidate.</t>
  </si>
  <si>
    <t xml:space="preserve">Dashboard</t>
  </si>
  <si>
    <t xml:space="preserve">Live counts by status. Formulas — do not overwrite.</t>
  </si>
  <si>
    <t xml:space="preserve">THE ONE RULE</t>
  </si>
  <si>
    <t xml:space="preserve">Ask the ITIN question on call one. No bank or platform publicly states its ITIN policy —</t>
  </si>
  <si>
    <t xml:space="preserve">not a single one in the entire research sweep. It cannot be screened in advance, and it is</t>
  </si>
  <si>
    <t xml:space="preserve">the thing most likely to end a conversation in month four instead of minute four.</t>
  </si>
  <si>
    <t xml:space="preserve">VERIFY BEFORE CONTACT</t>
  </si>
  <si>
    <t xml:space="preserve">Consent orders change monthly. Re-check each bank at orders.fdic.gov and apps.occ.gov/EASearch</t>
  </si>
  <si>
    <t xml:space="preserve">immediately before outreach. Do not rely on this file's Regulatory Status column alone.</t>
  </si>
  <si>
    <t xml:space="preserve">Institution</t>
  </si>
  <si>
    <t xml:space="preserve">Priority</t>
  </si>
  <si>
    <t xml:space="preserve">Location / Charter</t>
  </si>
  <si>
    <t xml:space="preserve">Why them — the hook to open with</t>
  </si>
  <si>
    <t xml:space="preserve">Deposit + Lending capability</t>
  </si>
  <si>
    <t xml:space="preserve">ITIN signal</t>
  </si>
  <si>
    <t xml:space="preserve">Regulatory status (VERIFY)</t>
  </si>
  <si>
    <t xml:space="preserve">How to make contact</t>
  </si>
  <si>
    <t xml:space="preserve">Owner</t>
  </si>
  <si>
    <t xml:space="preserve">Status</t>
  </si>
  <si>
    <t xml:space="preserve">Last Contact</t>
  </si>
  <si>
    <t xml:space="preserve">Next Step</t>
  </si>
  <si>
    <t xml:space="preserve">Next Step Date</t>
  </si>
  <si>
    <t xml:space="preserve">Notes</t>
  </si>
  <si>
    <t xml:space="preserve">Sunrise Banks, N.A.</t>
  </si>
  <si>
    <t xml:space="preserve">1 - Lead</t>
  </si>
  <si>
    <t xml:space="preserve">St. Paul, MN · National (OCC)</t>
  </si>
  <si>
    <t xml:space="preserve">Issuing bank behind Self Financial's Credit Builder — 278,000+ loans / $249.7M originated in 2023. Structurally near-identical to Puente's mechanic. Open the email with this.</t>
  </si>
  <si>
    <t xml:space="preserve">Both. Fintech sponsor bank, Compliance-as-a-Service, and lending verticals.</t>
  </si>
  <si>
    <t xml:space="preserve">STRONG — runs Pathway2Home, an ITIN mortgage program for immigrants. CDFI certified, B Corp, GABV member.</t>
  </si>
  <si>
    <t xml:space="preserve">No consent order found (negative unverified — confirm via FDIC/OCC).</t>
  </si>
  <si>
    <t xml:space="preserve">Fintech partnerships form at sunrisebanks.com/fintech-partnerships · 844-786-5600</t>
  </si>
  <si>
    <t xml:space="preserve">Not started</t>
  </si>
  <si>
    <t xml:space="preserve">Academy Bank</t>
  </si>
  <si>
    <t xml:space="preserve">Kansas City, MO</t>
  </si>
  <si>
    <t xml:space="preserve">Powers Atlas (credit-building fintech) and BUILT ITIN onboarding workflows + a Spanish-language product version for it. Closest ITIN + secured-credit precedent found anywhere.</t>
  </si>
  <si>
    <t xml:space="preserve">Both. Tiered/partially-secured credit lines where a secured deposit unlocks a higher limit.</t>
  </si>
  <si>
    <t xml:space="preserve">STRONGEST FOUND — explicit ITIN workflows already built and in production for a comparable partner.</t>
  </si>
  <si>
    <t xml:space="preserve">None found. Publicly caps BaaS at 20% of deposits / 35% of revenue — disciplined, not distressed.</t>
  </si>
  <si>
    <t xml:space="preserve">Via academybank.com. Reference the Atlas partnership case study directly.</t>
  </si>
  <si>
    <t xml:space="preserve">Continental Bank</t>
  </si>
  <si>
    <t xml:space="preserve">Salt Lake City, UT · Utah industrial</t>
  </si>
  <si>
    <t xml:space="preserve">Local to you. Markets 120-day onboarding and 'direct access to decision-makers' — positioning aimed at smaller partners. Utah HQ is a legitimate warm-ish opener.</t>
  </si>
  <si>
    <t xml:space="preserve">Both, explicitly — deposit programs AND consumer revolving lines of credit. Exact product shape needed.</t>
  </si>
  <si>
    <t xml:space="preserve">Unknown — not publicly stated. Ask on call one.</t>
  </si>
  <si>
    <t xml:space="preserve">No consent order found. Small industrial bank — verify size via FDIC BankFind.</t>
  </si>
  <si>
    <t xml:space="preserve">cbankus.com/partnerships/fintech-strategic-partnerships · 15 W South Temple Ste 300, SLC</t>
  </si>
  <si>
    <t xml:space="preserve">Thread Bank</t>
  </si>
  <si>
    <t xml:space="preserve">2 - Strong</t>
  </si>
  <si>
    <t xml:space="preserve">Rogersville, TN</t>
  </si>
  <si>
    <t xml:space="preserve">FDIC consent order TERMINATED 22 Dec 2025 — clean now, and remediation is arguably a positive signal. Has a named SVP/Director of Fintech Partnerships (ex-Live Oak, ex-SVB).</t>
  </si>
  <si>
    <t xml:space="preserve">Deposit sweep / Program Bank network (IntraFi) plus fintech lending partnerships. Secured/credit-builder capability unconfirmed.</t>
  </si>
  <si>
    <t xml:space="preserve">Unknown.</t>
  </si>
  <si>
    <t xml:space="preserve">Order terminated Dec 2025. Ask what triggered it and what changed.</t>
  </si>
  <si>
    <t xml:space="preserve">thread.bank/connect-with-thread · customerservice@thread.bank</t>
  </si>
  <si>
    <t xml:space="preserve">First Century Bank, N.A.</t>
  </si>
  <si>
    <t xml:space="preserve">Tazewell, TN</t>
  </si>
  <si>
    <t xml:space="preserve">Also a Self Financial issuing bank — the literal product precedent exists here too. BUT likely conflicted with a direct competitor.</t>
  </si>
  <si>
    <t xml:space="preserve">Secured deposit collateralizing a credit-building facility, in production.</t>
  </si>
  <si>
    <t xml:space="preserve">None found.</t>
  </si>
  <si>
    <t xml:space="preserve">firstcenturybank.com/contact. Raise the Self competitive-conflict question up front.</t>
  </si>
  <si>
    <t xml:space="preserve">Coastal Community Bank (CCBX)</t>
  </si>
  <si>
    <t xml:space="preserve">3 - Possible</t>
  </si>
  <si>
    <t xml:space="preserve">WA state charter</t>
  </si>
  <si>
    <t xml:space="preserve">Original BaaS pioneer, well-established program. Likely higher minimums than you want.</t>
  </si>
  <si>
    <t xml:space="preserve">Both, well established.</t>
  </si>
  <si>
    <t xml:space="preserve">Self-identified a MATERIAL WEAKNESS in internal controls (Mar 2025) tied to BaaS partner loan accounting; restated 2023-24 financials. Says resolved.</t>
  </si>
  <si>
    <t xml:space="preserve">coastalbank.com</t>
  </si>
  <si>
    <t xml:space="preserve">First Internet Bank</t>
  </si>
  <si>
    <t xml:space="preserve">Fishers, IN</t>
  </si>
  <si>
    <t xml:space="preserve">Publishes thought-leadership on 'how to be a good sponsor bank' — a positive cultural signal — and a real partnership inbox, which is rare.</t>
  </si>
  <si>
    <t xml:space="preserve">General BaaS/embedded finance. Secured consumer credit unverified.</t>
  </si>
  <si>
    <t xml:space="preserve">fintech@firstinternetbank.com · 1-888-873-3424</t>
  </si>
  <si>
    <t xml:space="preserve">Column N.A.</t>
  </si>
  <si>
    <t xml:space="preserve">San Francisco · National charter</t>
  </si>
  <si>
    <t xml:space="preserve">A chartered bank operating as a direct API. Healthiest financials in the sector (~$153M 2025 revenue, founder-owned, no outside investors). Confirmed RTP + FedNow.</t>
  </si>
  <si>
    <t xml:space="preserve">Both. Lending infra skews commercial/warehouse (Mercury, Brex).</t>
  </si>
  <si>
    <t xml:space="preserve">column.com · docs.column.com</t>
  </si>
  <si>
    <t xml:space="preserve">Medallion Bank</t>
  </si>
  <si>
    <t xml:space="preserve">Salt Lake City, UT</t>
  </si>
  <si>
    <t xml:space="preserve">Utah presence and actively signing new fintech consumer-lending partnerships as of May 2026.</t>
  </si>
  <si>
    <t xml:space="preserve">Consumer installment lending. Consumer FBO deposit capability UNCONFIRMED — key question.</t>
  </si>
  <si>
    <t xml:space="preserve">medallionbank.com</t>
  </si>
  <si>
    <t xml:space="preserve">TAB Bank</t>
  </si>
  <si>
    <t xml:space="preserve">Ogden, UT · Utah industrial</t>
  </si>
  <si>
    <t xml:space="preserve">Utah-based, publishes a dedicated FinTech Partners page.</t>
  </si>
  <si>
    <t xml:space="preserve">Card sponsorship + lending emphasized. Consumer FBO deposit unconfirmed.</t>
  </si>
  <si>
    <t xml:space="preserve">tabbank.com/fintech-partners · 1-800-355-3063</t>
  </si>
  <si>
    <t xml:space="preserve">Lead Bank</t>
  </si>
  <si>
    <t xml:space="preserve">4 - Low</t>
  </si>
  <si>
    <t xml:space="preserve">Fast-growing (~$2.6B), ICONIQ-backed, direct API. But public positioning favors large established fintechs (Affirm, Ramp, Bridge).</t>
  </si>
  <si>
    <t xml:space="preserve">Both — FBO/virtual accounts, term loans and lines of credit.</t>
  </si>
  <si>
    <t xml:space="preserve">No active order found.</t>
  </si>
  <si>
    <t xml:space="preserve">lead.bank — one exploratory call, don't over-invest.</t>
  </si>
  <si>
    <t xml:space="preserve">FinWise Bank</t>
  </si>
  <si>
    <t xml:space="preserve">Sandy, UT</t>
  </si>
  <si>
    <t xml:space="preserve">YOU'VE ALREADY REACHED OUT. Likely a no on FIT, not compliance: their EVP publicly cites rejecting ~12-18 applicants per acceptance for being 'not big enough', and they've pivoted to ~90% commercial.</t>
  </si>
  <si>
    <t xml:space="preserve">Primarily lending origination programs, not deposit/BaaS.</t>
  </si>
  <si>
    <t xml:space="preserve">No consent order found (positive). Facing data-breach litigation (~689K users).</t>
  </si>
  <si>
    <t xml:space="preserve">Already contacted — don't over-invest in follow-up.</t>
  </si>
  <si>
    <t xml:space="preserve">EXAMPLE ROW - delete me</t>
  </si>
  <si>
    <t xml:space="preserve">Anywhere, USA · State charter</t>
  </si>
  <si>
    <t xml:space="preserve">Example of the expected format — replace or delete this row once you start.</t>
  </si>
  <si>
    <t xml:space="preserve">Both.</t>
  </si>
  <si>
    <t xml:space="preserve">Verified clean 12 Aug 2026.</t>
  </si>
  <si>
    <t xml:space="preserve">example@bank.com</t>
  </si>
  <si>
    <t xml:space="preserve">Joshua</t>
  </si>
  <si>
    <t xml:space="preserve">Send intro email w/ Self precedent</t>
  </si>
  <si>
    <t xml:space="preserve">Platform</t>
  </si>
  <si>
    <t xml:space="preserve">What it is</t>
  </si>
  <si>
    <t xml:space="preserve">Why them — the hook</t>
  </si>
  <si>
    <t xml:space="preserve">Lending / secured credit support</t>
  </si>
  <si>
    <t xml:space="preserve">Instant rails (RTP/FedNow)</t>
  </si>
  <si>
    <t xml:space="preserve">Health signal</t>
  </si>
  <si>
    <t xml:space="preserve">Synctera</t>
  </si>
  <si>
    <t xml:space="preserve">Full-stack BaaS</t>
  </si>
  <si>
    <t xml:space="preserve">BEST ARCHITECTURAL MATCH FOUND. Documents a CHARGE_SECURED primitive: an open-end credit account where a linked security deposit mechanically caps available credit. Fund $100 → $100 credit; spend $20 → both drop. That is your product.</t>
  </si>
  <si>
    <t xml:space="preserve">Yes — unsecured LOC plus the secured charge account. Sponsor bank is lender of record.</t>
  </si>
  <si>
    <t xml:space="preserve">UNVERIFIED — confirm on call.</t>
  </si>
  <si>
    <t xml:space="preserve">Raised $15M in 2026, expanding into Canada. Healthy.</t>
  </si>
  <si>
    <t xml:space="preserve">synctera.com · docs.synctera.com. ASK: can CHARGE_SECURED be decoupled from a card rail to fund a remittance? Does it furnish to bureaus?</t>
  </si>
  <si>
    <t xml:space="preserve">Treasury Prime</t>
  </si>
  <si>
    <t xml:space="preserve">Multi-bank BaaS</t>
  </si>
  <si>
    <t xml:space="preserve">Scale and regulatory credibility — $100B+ 2025 volume, 3M end-customer accounts, 100+ fintechs in production. GC testified to House Financial Services May 2026. Multi-bank routing is an explicit answer to Synapse's single-bank failure mode.</t>
  </si>
  <si>
    <t xml:space="preserve">Consumer lending APIs explicitly claimed. Secured structure unverified.</t>
  </si>
  <si>
    <t xml:space="preserve">UNVERIFIED.</t>
  </si>
  <si>
    <t xml:space="preserve">No confirmed raise since ~2023 — ask whether that's profitability or constraint.</t>
  </si>
  <si>
    <t xml:space="preserve">treasuryprime.com</t>
  </si>
  <si>
    <t xml:space="preserve">Increase</t>
  </si>
  <si>
    <t xml:space="preserve">2 - Rails</t>
  </si>
  <si>
    <t xml:space="preserve">Bank + API</t>
  </si>
  <si>
    <t xml:space="preserve">Not your lending partner — their credit products are institutional capital-call lines. But the ONLY transparent public pricing in the sector and a strong candidate for the settlement leg.</t>
  </si>
  <si>
    <t xml:space="preserve">No consumer secured credit found.</t>
  </si>
  <si>
    <t xml:space="preserve">YES — published at $2.50/txn for both RTP and FedNow origination.</t>
  </si>
  <si>
    <t xml:space="preserve">Own bank charter (Increase Bank), Forbes Fintech 50 2025-26, American Banker Innovation of the Year 2025.</t>
  </si>
  <si>
    <t xml:space="preserve">increase.com/pricing. NOTE: partner Grasshopper is being acquired by Enova (closing H2 2026) — continuity risk if routed there.</t>
  </si>
  <si>
    <t xml:space="preserve">Astra</t>
  </si>
  <si>
    <t xml:space="preserve">Instant disbursement API</t>
  </si>
  <si>
    <t xml:space="preserve">Purpose-built for lenders' funding legs — RTP, FedNow, Visa Direct, Mastercard Send. Complement to a bank/BaaS stack, not a substitute.</t>
  </si>
  <si>
    <t xml:space="preserve">N/A — rails layer, not a credit issuer.</t>
  </si>
  <si>
    <t xml:space="preserve">YES — multi-rail confirmed.</t>
  </si>
  <si>
    <t xml:space="preserve">Active, marketing directly to lending use cases.</t>
  </si>
  <si>
    <t xml:space="preserve">astrafi.com/for-lending</t>
  </si>
  <si>
    <t xml:space="preserve">2 - Possible</t>
  </si>
  <si>
    <t xml:space="preserve">Chartered bank as direct API</t>
  </si>
  <si>
    <t xml:space="preserve">Healthiest balance sheet in the sector. Confirmed sub-second RTP + FedNow reaching 75%+ of US bank accounts.</t>
  </si>
  <si>
    <t xml:space="preserve">Lending infra exists but skews commercial/warehouse. Consumer secured lending at your size unverified.</t>
  </si>
  <si>
    <t xml:space="preserve">YES — both confirmed, FRB case study exists.</t>
  </si>
  <si>
    <t xml:space="preserve">~$153M 2025 revenue (up ~126% YoY), founder-owned, no outside investors.</t>
  </si>
  <si>
    <t xml:space="preserve">column.com</t>
  </si>
  <si>
    <t xml:space="preserve">Dwolla</t>
  </si>
  <si>
    <t xml:space="preserve">Payments orchestration</t>
  </si>
  <si>
    <t xml:space="preserve">RTP + FedNow with intelligent orchestration across both. Lists lending as a vertical, but that means disbursement/repayment rails, not credit issuance.</t>
  </si>
  <si>
    <t xml:space="preserve">No — rails only.</t>
  </si>
  <si>
    <t xml:space="preserve">YES — both, recently expanded.</t>
  </si>
  <si>
    <t xml:space="preserve">Active.</t>
  </si>
  <si>
    <t xml:space="preserve">dwolla.com</t>
  </si>
  <si>
    <t xml:space="preserve">Modern Treasury</t>
  </si>
  <si>
    <t xml:space="preserve">3 - Complement</t>
  </si>
  <si>
    <t xml:space="preserve">Ledger + orchestration</t>
  </si>
  <si>
    <t xml:space="preserve">Not a bank or credit issuer. Potentially useful reconciliation layer on top of an FBO structure — but you already run a real double-entry ledger, so likely unnecessary spend right now.</t>
  </si>
  <si>
    <t xml:space="preserve">None.</t>
  </si>
  <si>
    <t xml:space="preserve">FedNow supported.</t>
  </si>
  <si>
    <t xml:space="preserve">Active, recently launched a PSP product.</t>
  </si>
  <si>
    <t xml:space="preserve">moderntreasury.com</t>
  </si>
  <si>
    <t xml:space="preserve">Unit</t>
  </si>
  <si>
    <t xml:space="preserve">4 - Caution</t>
  </si>
  <si>
    <t xml:space="preserve">BaaS</t>
  </si>
  <si>
    <t xml:space="preserve">Right lending primitives on paper (charge cards, revolving credit, LOC) but health signals are stale and docs frame lending as business-purpose only.</t>
  </si>
  <si>
    <t xml:space="preserve">Listed, but consumer secured support unclear.</t>
  </si>
  <si>
    <t xml:space="preserve">NO confirmed funding or health update since 2022-23. Reportedly declined to answer viability questions. Yellow flag for a multi-year furnishing relationship.</t>
  </si>
  <si>
    <t xml:space="preserve">unit.co</t>
  </si>
  <si>
    <t xml:space="preserve">Bond (now FIS)</t>
  </si>
  <si>
    <t xml:space="preserve">Embedded finance, inside FIS</t>
  </si>
  <si>
    <t xml:space="preserve">Literally lists a 'Consumer Secured Credit Card' — closest NAMED product match found. But now inside FIS's enterprise sales org.</t>
  </si>
  <si>
    <t xml:space="preserve">Named secured consumer product.</t>
  </si>
  <si>
    <t xml:space="preserve">Parent (FIS) is stable. But enterprise sales cycles of 6-12+ months would consume your entire runway.</t>
  </si>
  <si>
    <t xml:space="preserve">bond.tech</t>
  </si>
  <si>
    <t xml:space="preserve">BureauRelay (Switch Labs)</t>
  </si>
  <si>
    <t xml:space="preserve">1 - Furnishing</t>
  </si>
  <si>
    <t xml:space="preserve">Metro 2 furnishing vendor</t>
  </si>
  <si>
    <t xml:space="preserve">Only startup-shaped furnishing pricing found. Published tiers with API access — ~$29/mo at 1,000 records, ~$49/mo at 10,000.</t>
  </si>
  <si>
    <t xml:space="preserve">N/A — furnishing only.</t>
  </si>
  <si>
    <t xml:space="preserve">N/A</t>
  </si>
  <si>
    <t xml:space="preserve">bureaurelay.com. ASK EVERY BANK/BAAS FIRST whether furnishing is bundled — it may make this unnecessary.</t>
  </si>
  <si>
    <t xml:space="preserve">Bloom Credit</t>
  </si>
  <si>
    <t xml:space="preserve">2 - Furnishing</t>
  </si>
  <si>
    <t xml:space="preserve">Enterprise-credible name if investor optics matter. Fully managed furnishing to all 3 bureaus with 700+ validation checks.</t>
  </si>
  <si>
    <t xml:space="preserve">bloomcredit.io/products/furnishment. Pricing unpublished, heavier sales lift.</t>
  </si>
  <si>
    <t xml:space="preserve">Example platform</t>
  </si>
  <si>
    <t xml:space="preserve">Example of the expected format — replace or delete once you start.</t>
  </si>
  <si>
    <t xml:space="preserve">Yes.</t>
  </si>
  <si>
    <t xml:space="preserve">Unverified.</t>
  </si>
  <si>
    <t xml:space="preserve">example.com</t>
  </si>
  <si>
    <t xml:space="preserve">Type</t>
  </si>
  <si>
    <t xml:space="preserve">Geography / Field of membership</t>
  </si>
  <si>
    <t xml:space="preserve">ITIN program</t>
  </si>
  <si>
    <t xml:space="preserve">Fintech track record</t>
  </si>
  <si>
    <t xml:space="preserve">National bank · CDFI · B Corp</t>
  </si>
  <si>
    <t xml:space="preserve">Nationwide — no FOM restriction (banks aren't subject to NCUA rules).</t>
  </si>
  <si>
    <t xml:space="preserve">Spans Track 1 and Track 3. Self Financial credit-builder precedent PLUS a real ITIN program PLUS a working fintech BD function. Nothing else on this list has all three.</t>
  </si>
  <si>
    <t xml:space="preserve">YES — Pathway2Home ITIN mortgage program.</t>
  </si>
  <si>
    <t xml:space="preserve">Extensive: Self Financial, Lili, Usio, Remitly Passbook.</t>
  </si>
  <si>
    <t xml:space="preserve">sunrisebanks.com/fintech-partnerships · 844-786-5600</t>
  </si>
  <si>
    <t xml:space="preserve">Ponce Bank</t>
  </si>
  <si>
    <t xml:space="preserve">National bank · CDFI + MDI</t>
  </si>
  <si>
    <t xml:space="preserve">NYC metro primarily. No FOM restriction.</t>
  </si>
  <si>
    <t xml:space="preserve">Dual CDFI + MDI — fewer than 40 US banks hold both. Founded 1960 by Puerto Rican migrants, majority Spanish-speaking staff. Best brand fit after Sunrise.</t>
  </si>
  <si>
    <t xml:space="preserve">Not confirmed — plausible given founding community. Ask.</t>
  </si>
  <si>
    <t xml:space="preserve">Tech-forward BD appetite (sidecar core partnership, BNY Mentor-Protégé) but NO confirmed BaaS program. Would be a build.</t>
  </si>
  <si>
    <t xml:space="preserve">poncebank.com — no fintech BD page; likely needs exec-level outreach.</t>
  </si>
  <si>
    <t xml:space="preserve">Spring Bank</t>
  </si>
  <si>
    <t xml:space="preserve">Bank · CDFI · B Corp · CDBA member</t>
  </si>
  <si>
    <t xml:space="preserve">Bronx, NY. No FOM restriction.</t>
  </si>
  <si>
    <t xml:space="preserve">Has its own credit-builder loan product — institutional comfort with the exact mechanic you're proposing.</t>
  </si>
  <si>
    <t xml:space="preserve">Not confirmed. Ask.</t>
  </si>
  <si>
    <t xml:space="preserve">Not confirmed.</t>
  </si>
  <si>
    <t xml:space="preserve">springbankny.com · also reachable via CDBA</t>
  </si>
  <si>
    <t xml:space="preserve">Self-Help Federal Credit Union</t>
  </si>
  <si>
    <t xml:space="preserve">CDFI credit union</t>
  </si>
  <si>
    <t xml:space="preserve">CA, CT, IL, SC, WA, WI (44 branches) + NC/SC via the state-chartered arm. NOT nationwide.</t>
  </si>
  <si>
    <t xml:space="preserve">Extraordinary catalog alignment — already offers BOTH an 'Immigration Loan' and a 'CreditBuilder Loan'. But no fintech-facing infrastructure at all.</t>
  </si>
  <si>
    <t xml:space="preserve">YES — named Immigration Loans and Dreamer Medical School Loans.</t>
  </si>
  <si>
    <t xml:space="preserve">None found. Historically an originate-and-hold balance-sheet lender, not a sponsor.</t>
  </si>
  <si>
    <t xml:space="preserve">self-helpfcu.org — needs exec/community-development outreach.</t>
  </si>
  <si>
    <t xml:space="preserve">Latino Community Credit Union</t>
  </si>
  <si>
    <t xml:space="preserve">State CU (NC) · CDFI · Juntos Avanzamos</t>
  </si>
  <si>
    <t xml:space="preserve">NC ONLY despite marketing copy implying open national eligibility. ~$1.05B assets. FOM discrepancy needs direct verification.</t>
  </si>
  <si>
    <t xml:space="preserve">Arguably the best brand fit on the entire list. But geographically constrained and no BaaS capability.</t>
  </si>
  <si>
    <t xml:space="preserve">YES — core to their model; requires SSN or ITIN for membership.</t>
  </si>
  <si>
    <t xml:space="preserve">Core/digital upgrades only (Jack Henry, Lumin Digital). Not a BaaS program.</t>
  </si>
  <si>
    <t xml:space="preserve">latinoccu.org — best used as a reference or an Inclusiv intro target.</t>
  </si>
  <si>
    <t xml:space="preserve">Carver Federal Savings Bank</t>
  </si>
  <si>
    <t xml:space="preserve">MDI (Black-owned) · CDFI</t>
  </si>
  <si>
    <t xml:space="preserve">Harlem, NY. No FOM restriction.</t>
  </si>
  <si>
    <t xml:space="preserve">Demonstrated, CEO-championed appetite for outsourced lending tech (Upstart Referral Network, Moody's CreditLens). Real execution capability.</t>
  </si>
  <si>
    <t xml:space="preserve">YES — Upstart partnership is a genuine precedent.</t>
  </si>
  <si>
    <t xml:space="preserve">carverbank.com — exec office outreach.</t>
  </si>
  <si>
    <t xml:space="preserve">Guadalupe Credit Union</t>
  </si>
  <si>
    <t xml:space="preserve">SEVEN New Mexico counties only. Rules out a nationwide product via direct membership.</t>
  </si>
  <si>
    <t xml:space="preserve">High cultural fit, too small and narrow to be a primary partner. Pilot or reference only.</t>
  </si>
  <si>
    <t xml:space="preserve">YES — accepts ITIN and Matrícula Consular for membership.</t>
  </si>
  <si>
    <t xml:space="preserve">guadalupecu.org</t>
  </si>
  <si>
    <t xml:space="preserve">NETWORK: NBA MDI ConnectTech</t>
  </si>
  <si>
    <t xml:space="preserve">1 - Channel</t>
  </si>
  <si>
    <t xml:space="preserve">Formal matchmaking program</t>
  </si>
  <si>
    <t xml:space="preserve">National.</t>
  </si>
  <si>
    <t xml:space="preserve">National Bankers Association + Alliance for Innovative Regulation + Inclusiv, funded by Visa. A multi-year 'test and learn' program explicitly designed to connect fintechs with MDIs. The most structured intro channel found anywhere.</t>
  </si>
  <si>
    <t xml:space="preserve">N/A — this IS the fintech channel.</t>
  </si>
  <si>
    <t xml:space="preserve">202-588-5432 · nationalbankers.org strategic partner form · regulationinnovation.org/mdi-connecttech-initiative</t>
  </si>
  <si>
    <t xml:space="preserve">NETWORK: Inclusiv / Juntos Avanzamos</t>
  </si>
  <si>
    <t xml:space="preserve">CDFI CU network + designation</t>
  </si>
  <si>
    <t xml:space="preserve">167+ designated credit unions across 34 states serving Hispanic/immigrant communities.</t>
  </si>
  <si>
    <t xml:space="preserve">Source additional candidates AND sanity-check the FBO vs. field-of-membership question with people who work it daily.</t>
  </si>
  <si>
    <t xml:space="preserve">juntosavanzamos@inclusiv.org · (212) 809-1850</t>
  </si>
  <si>
    <t xml:space="preserve">NETWORK: CDBA</t>
  </si>
  <si>
    <t xml:space="preserve">2 - Channel</t>
  </si>
  <si>
    <t xml:space="preserve">CDFI bank trade association</t>
  </si>
  <si>
    <t xml:space="preserve">Trade association for CDFI-certified banks — Spring Bank, Southern Bancorp, City First all members. Peer Forum ran June 2026; watch for 2027 and ask about non-member participation.</t>
  </si>
  <si>
    <t xml:space="preserve">cdbanks.org</t>
  </si>
  <si>
    <t xml:space="preserve">NETWORK: OFN</t>
  </si>
  <si>
    <t xml:space="preserve">CDFI trade association</t>
  </si>
  <si>
    <t xml:space="preserve">Launched an Innovation Council and Capital Solutions Accelerator in 2026 — possible fintech-CDFI matchmaking entry point. CDFI Locator tool for sourcing.</t>
  </si>
  <si>
    <t xml:space="preserve">ofn.org/cdfi-locator</t>
  </si>
  <si>
    <t xml:space="preserve">Bank · CDFI</t>
  </si>
  <si>
    <t xml:space="preserve">Nationwide</t>
  </si>
  <si>
    <t xml:space="preserve">example.org</t>
  </si>
  <si>
    <t xml:space="preserve">Problem</t>
  </si>
  <si>
    <t xml:space="preserve">Detail</t>
  </si>
  <si>
    <t xml:space="preserve">Revisit?</t>
  </si>
  <si>
    <t xml:space="preserve">Evolve Bank &amp; Trust</t>
  </si>
  <si>
    <t xml:space="preserve">Active Federal Reserve cease-and-desist</t>
  </si>
  <si>
    <t xml:space="preserve">C&amp;D since 14 June 2024, still active as of Aug 2026. The bank at the center of the Synapse collapse — frozen/lost customer funds, ongoing litigation. Also suffered a LockBit ransomware breach (~33TB exposed).</t>
  </si>
  <si>
    <t xml:space="preserve">No. Reputational and operational risk too high regardless of fit.</t>
  </si>
  <si>
    <t xml:space="preserve">Lineage Bank</t>
  </si>
  <si>
    <t xml:space="preserve">Second active FDIC consent order</t>
  </si>
  <si>
    <t xml:space="preserve">Ordered to terminate fintech partnerships Jan 2024 after growing $27M → $300M in assets. A SECOND active order dated 24 June 2026. The regulator is actively pushing this bank out of BaaS.</t>
  </si>
  <si>
    <t xml:space="preserve">No.</t>
  </si>
  <si>
    <t xml:space="preserve">Sutton Bank</t>
  </si>
  <si>
    <t xml:space="preserve">Active FDIC BSA/AML consent order</t>
  </si>
  <si>
    <t xml:space="preserve">Order since Feb 2024. Still signing card deals, so it hasn't stopped business — but an open BSA/AML order is the single worst regulatory profile to pair with an ITIN-heavy customer base in the current climate.</t>
  </si>
  <si>
    <t xml:space="preserve">Only if the order is confirmed terminated.</t>
  </si>
  <si>
    <t xml:space="preserve">Mode Eleven Bancorp</t>
  </si>
  <si>
    <t xml:space="preserve">Voluntarily exited fintech sponsorship</t>
  </si>
  <si>
    <t xml:space="preserve">Fed action March 2024, then exited the business entirely. Confirmed.</t>
  </si>
  <si>
    <t xml:space="preserve">Cross River Bank</t>
  </si>
  <si>
    <t xml:space="preserve">Active FDIC fair-lending consent order — but nuanced</t>
  </si>
  <si>
    <t xml:space="preserve">Order since March 2023. NOT a clean avoid: Cross River sponsors Común, a Hispanic-immigrant fintech with positioning close to yours. Also large ($20B+) and likely priced for bigger partners.</t>
  </si>
  <si>
    <t xml:space="preserve">Deprioritize as a lead, but the Común precedent makes it worth a call if other doors close.</t>
  </si>
  <si>
    <t xml:space="preserve">Community Federal Savings Bank</t>
  </si>
  <si>
    <t xml:space="preserve">NEW OCC consent order April 2026</t>
  </si>
  <si>
    <t xml:space="preserve">AML/BSA failures: auto-closed a very high percentage of suspicious-activity alerts, weak due diligence on foreign financial institutions, understaffing. Second enforcement action (first 2020). Sponsors Wise and Común — relevant to cross-border fintechs, which makes this directly cautionary for you.</t>
  </si>
  <si>
    <t xml:space="preserve">No — but note it as the pattern to screen for: a small bank scaling fintech volume past its compliance capacity.</t>
  </si>
  <si>
    <t xml:space="preserve">Solid Financial Technologies</t>
  </si>
  <si>
    <t xml:space="preserve">DEAD — Chapter 11, liquidated</t>
  </si>
  <si>
    <t xml:space="preserve">Filed April 2025, liquidation plan confirmed Nov 2025. Common equity wiped out. Lost its sponsor bank (Lewis &amp; Clark) in Aug 2024. Do not approach.</t>
  </si>
  <si>
    <t xml:space="preserve">Synapse</t>
  </si>
  <si>
    <t xml:space="preserve">DEAD — bankrupt, depositor shortfall unresolved</t>
  </si>
  <si>
    <t xml:space="preserve">Chapter 11 April 2024. ~$65-95M in depositor funds still unresolved a year later. The foundational cautionary tale of the sector.</t>
  </si>
  <si>
    <t xml:space="preserve">Lewis &amp; Clark Bank</t>
  </si>
  <si>
    <t xml:space="preserve">Status unknown / likely disrupted</t>
  </si>
  <si>
    <t xml:space="preserve">Its one publicized BaaS relationship was via Solid, which went bankrupt. No evidence of program status since. Insufficient information.</t>
  </si>
  <si>
    <t xml:space="preserve">Only with direct confirmation.</t>
  </si>
  <si>
    <t xml:space="preserve">Marqeta / Galileo</t>
  </si>
  <si>
    <t xml:space="preserve">Wrong shape — card issuing processors</t>
  </si>
  <si>
    <t xml:space="preserve">Both assume a card rail. You explicitly need no card or BIN program. They appear in every BaaS comparison list, so flagging to prevent a wrong turn.</t>
  </si>
  <si>
    <t xml:space="preserve">Only if the product adds a card.</t>
  </si>
  <si>
    <t xml:space="preserve">Nova Credit</t>
  </si>
  <si>
    <t xml:space="preserve">Miscategorized — NOT a furnishing service</t>
  </si>
  <si>
    <t xml:space="preserve">Translates foreign credit files into US-readable scores. Does not solve Metro 2 bureau reporting. BUT potentially valuable later as an underwriting signal for LATAM immigrants with home-country credit history.</t>
  </si>
  <si>
    <t xml:space="preserve">Yes — as an underwriting input, not a furnishing solution.</t>
  </si>
  <si>
    <t xml:space="preserve">Channel</t>
  </si>
  <si>
    <t xml:space="preserve">Timing / Deadline</t>
  </si>
  <si>
    <t xml:space="preserve">Cost</t>
  </si>
  <si>
    <t xml:space="preserve">Why it matters</t>
  </si>
  <si>
    <t xml:space="preserve">Action</t>
  </si>
  <si>
    <t xml:space="preserve">Applied / Registered?</t>
  </si>
  <si>
    <t xml:space="preserve">ICBA ThinkTECH Accelerator</t>
  </si>
  <si>
    <t xml:space="preserve">Accelerator</t>
  </si>
  <si>
    <t xml:space="preserve">1 - Do this first</t>
  </si>
  <si>
    <t xml:space="preserve">Next cohort January 2027. Rolling applications via F6S — apply now.</t>
  </si>
  <si>
    <t xml:space="preserve">Free</t>
  </si>
  <si>
    <t xml:space="preserve">Built specifically to put early-stage fintechs in front of hundreds of community bank executives — demo days, 1:1s, ICBA LIVE exposure. ~6 companies per cohort, 150+ alumni (Alkami, Sardine, Finzly). This is the single highest-value action available to a company with no warm intros.</t>
  </si>
  <si>
    <t xml:space="preserve">Apply. Contact Pierce Sloan, Pierce.Sloan@icba.org</t>
  </si>
  <si>
    <t xml:space="preserve">Plug and Play Inclusive Fintech Accelerator</t>
  </si>
  <si>
    <t xml:space="preserve">1 - High</t>
  </si>
  <si>
    <t xml:space="preserve">Cohort 3 timing unconfirmed — monitor.</t>
  </si>
  <si>
    <t xml:space="preserve">Free / non-dilutive</t>
  </si>
  <si>
    <t xml:space="preserve">Run with Visa. Explicitly targets diverse founders building inclusive fintech; past cohorts included Latinx and immigrant-focused products. Facilitated 300+ financial-institution introductions in cohort 2. Most mission-aligned program found.</t>
  </si>
  <si>
    <t xml:space="preserve">Watch for the next cohort opening and apply immediately.</t>
  </si>
  <si>
    <t xml:space="preserve">UBA AI-Native Banking &amp; Fintech Conference</t>
  </si>
  <si>
    <t xml:space="preserve">Conference</t>
  </si>
  <si>
    <t xml:space="preserve">29 September 2026 — six weeks out</t>
  </si>
  <si>
    <t xml:space="preserve">Not published — inquire</t>
  </si>
  <si>
    <t xml:space="preserve">Utah Bankers Association, co-organized with Spring Labs. Ken Garff University Club, Salt Lake City. The one dated, verified, in-state opportunity — and Utah has the country's highest concentration of fintech-partner industrial banks.</t>
  </si>
  <si>
    <t xml:space="preserve">Register now. utah.bank/events</t>
  </si>
  <si>
    <t xml:space="preserve">Money20/20 USA</t>
  </si>
  <si>
    <t xml:space="preserve">2 - Worthwhile</t>
  </si>
  <si>
    <t xml:space="preserve">18-21 October 2026, Las Vegas</t>
  </si>
  <si>
    <t xml:space="preserve">$1,545 Early Stage Startup Pass</t>
  </si>
  <si>
    <t xml:space="preserve">Requires live product, &lt;3 years incorporated, &lt;$5M raised — you likely qualify. Founder accounts report genuine executive relationship-building, not immediate deals. Attendee mix skews payments/card-network rather than community-bank BD.</t>
  </si>
  <si>
    <t xml:space="preserve">Book the Early Stage pass if budget allows. us.money2020.com/attend/passes</t>
  </si>
  <si>
    <t xml:space="preserve">Fintech Meetup</t>
  </si>
  <si>
    <t xml:space="preserve">Historically March — 2027 dates not yet published</t>
  </si>
  <si>
    <t xml:space="preserve">$1,495 Startup pass</t>
  </si>
  <si>
    <t xml:space="preserve">Distinctive software-matched 1:1 meeting system — 60,000+ scheduled meetings in 2025. Structurally better for actually getting meetings than booth-wandering.</t>
  </si>
  <si>
    <t xml:space="preserve">Watch for 2027 dates. fintechmeetup.com</t>
  </si>
  <si>
    <t xml:space="preserve">ICBA LIVE</t>
  </si>
  <si>
    <t xml:space="preserve">3 - Conditional</t>
  </si>
  <si>
    <t xml:space="preserve">1-4 March 2027, Las Vegas</t>
  </si>
  <si>
    <t xml:space="preserve">$1,675-2,575 (bank pricing; vendor tier unconfirmed)</t>
  </si>
  <si>
    <t xml:space="preserve">Where community bank CEOs and CFOs go in volume — most decision-makers per dollar of any event researched. But no fintech/vendor pricing tier was published.</t>
  </si>
  <si>
    <t xml:space="preserve">Better attended via the ThinkTECH pipeline than paid cold. Inquire about vendor pricing.</t>
  </si>
  <si>
    <t xml:space="preserve">Sponsor-bank consultants</t>
  </si>
  <si>
    <t xml:space="preserve">Advisory</t>
  </si>
  <si>
    <t xml:space="preserve">Anytime</t>
  </si>
  <si>
    <t xml:space="preserve">None publish rates — expect five figures for a retainer</t>
  </si>
  <si>
    <t xml:space="preserve">Fintech2Bank (led by ex-WebBank/Axos CEO), Fraxtional (claims pre-qualified bank introductions), FS Vector (chartering/licensing). Credible but expensive relative to your cash position.</t>
  </si>
  <si>
    <t xml:space="preserve">Buy a short paid diligence-readiness review, NOT a retainer. Qualifying question: 'do you have a live relationship with a bank currently serving ITIN customers?' That's the only thing they offer that you can't do yourself.</t>
  </si>
  <si>
    <t xml:space="preserve">Stena Center for Financial Technology</t>
  </si>
  <si>
    <t xml:space="preserve">Ecosystem</t>
  </si>
  <si>
    <t xml:space="preserve">3 - Local</t>
  </si>
  <si>
    <t xml:space="preserve">Annual Fintech Xchange conference — dates unconfirmed</t>
  </si>
  <si>
    <t xml:space="preserve">Unknown</t>
  </si>
  <si>
    <t xml:space="preserve">University of Utah, funded by up to $65M from the Stena Foundation. Convenes company executives, regulators and lawmakers. The most plausible academic-adjacent venue in Utah.</t>
  </si>
  <si>
    <t xml:space="preserve">Email directly for Fintech Xchange dates. fintech.utah.edu</t>
  </si>
  <si>
    <t xml:space="preserve">Utah DFI — Supervisor of Industrial Banks</t>
  </si>
  <si>
    <t xml:space="preserve">Regulator</t>
  </si>
  <si>
    <t xml:space="preserve">No industrial-bank or fintech events on their calendar (confirmed), but a direct line to the people who supervise the banks you're targeting. Useful for understanding posture, not for introductions.</t>
  </si>
  <si>
    <t xml:space="preserve">(801) 538-8830 · dfi@utah.gov</t>
  </si>
  <si>
    <t xml:space="preserve">Some date 2026</t>
  </si>
  <si>
    <t xml:space="preserve">$0</t>
  </si>
  <si>
    <t xml:space="preserve">Do the thing</t>
  </si>
  <si>
    <t xml:space="preserve">#</t>
  </si>
  <si>
    <t xml:space="preserve">Question</t>
  </si>
  <si>
    <t xml:space="preserve">Kills the deal if...</t>
  </si>
  <si>
    <t xml:space="preserve">Do you onboard ITIN-only customers today, and has your posture changed since the May 2026 executive order?</t>
  </si>
  <si>
    <t xml:space="preserve">ASK THIS FIRST, ALWAYS. Not one bank or platform in the entire research sweep publicly states its ITIN policy. It cannot be screened in advance, and it's the thing most likely to end a conversation in month four instead of minute four.</t>
  </si>
  <si>
    <t xml:space="preserve">They say no, or they hedge without a concrete example of an ITIN customer today.</t>
  </si>
  <si>
    <t xml:space="preserve">Would you support an FBO/omnibus deposit structure with Puente maintaining the sub-ledger, rather than individual DDAs?</t>
  </si>
  <si>
    <t xml:space="preserve">This is the version that lets them avoid onboarding thousands of ITIN customers directly. It's your best offer to them, not a concession.</t>
  </si>
  <si>
    <t xml:space="preserve">They require individual DDAs AND won't take ITIN — that combination is unworkable.</t>
  </si>
  <si>
    <t xml:space="preserve">Can you issue an open-end line of credit in the consumer's name, secured by a deposit you hold, with NO card rail?</t>
  </si>
  <si>
    <t xml:space="preserve">Most secured credit infrastructure assumes a card. Yours doesn't. This is a genuine simplification you should sell, but it's also non-standard.</t>
  </si>
  <si>
    <t xml:space="preserve">Their secured credit product cannot be decoupled from card issuance.</t>
  </si>
  <si>
    <t xml:space="preserve">Do you support RTP and/or FedNow for funding, and what's the per-transaction cost to us?</t>
  </si>
  <si>
    <t xml:space="preserve">Irrevocable settlement is what makes 'fully secured' true. Network cost is $0.045; Increase publishes $2.50. Anything far above that is markup you should negotiate.</t>
  </si>
  <si>
    <t xml:space="preserve">ACH only. A 60-day return window leaves your collateral exposed after the remittance is gone.</t>
  </si>
  <si>
    <t xml:space="preserve">Is credit bureau furnishing bundled, or do we need a separate vendor?</t>
  </si>
  <si>
    <t xml:space="preserve">Longest lead time after the bank itself, and it's your core value proposition. Bundling could eliminate a whole vendor category.</t>
  </si>
  <si>
    <t xml:space="preserve">Nothing — but the answer changes your build plan and timeline materially.</t>
  </si>
  <si>
    <t xml:space="preserve">What's your minimum program size, and will you work with a pre-revenue company?</t>
  </si>
  <si>
    <t xml:space="preserve">Ask early. Several banks reject 12-18 applicants per acceptance specifically for being too small. Better to hear it on call one.</t>
  </si>
  <si>
    <t xml:space="preserve">They have a volume or revenue floor you can't clear within your runway.</t>
  </si>
  <si>
    <t xml:space="preserve">What's your current regulatory standing, and have you had any enforcement action in the last three years?</t>
  </si>
  <si>
    <t xml:space="preserve">You'll verify independently via FDIC and OCC databases — but ask anyway. How they answer tells you as much as what they answer.</t>
  </si>
  <si>
    <t xml:space="preserve">Active BSA/AML order. Worst possible pairing with an ITIN-heavy customer base.</t>
  </si>
  <si>
    <t xml:space="preserve">Realistically, how long from today to first originated loan?</t>
  </si>
  <si>
    <t xml:space="preserve">You have 6-12 months. A 12-month diligence cycle consumes all of it.</t>
  </si>
  <si>
    <t xml:space="preserve">Longer than your runway.</t>
  </si>
  <si>
    <t xml:space="preserve">Who else in our category do you sponsor, and can we reference-check with them?</t>
  </si>
  <si>
    <t xml:space="preserve">Reference-checking existing fintech partners is standard and revealing. A bank that won't facilitate it is telling you something.</t>
  </si>
  <si>
    <t xml:space="preserve">They refuse, or existing partners report poor responsiveness.</t>
  </si>
  <si>
    <t xml:space="preserve">What does your diligence package require, and what's your compliance expectation of us?</t>
  </si>
  <si>
    <t xml:space="preserve">Sets up your bank-ready package and surfaces gaps early. Lead your answer with your in-house compliance officer — most seed companies don't have one.</t>
  </si>
  <si>
    <t xml:space="preserve">Nothing — but it tells you what to build.</t>
  </si>
  <si>
    <t xml:space="preserve">Puente — Bank Partnership Pipeline</t>
  </si>
  <si>
    <t xml:space="preserve">Counts update automatically from the Status column on each track tab.</t>
  </si>
  <si>
    <t xml:space="preserve">Track 1 — Program Banks</t>
  </si>
  <si>
    <t xml:space="preserve">Track 2 — Middleware</t>
  </si>
  <si>
    <t xml:space="preserve">Track 3 — CDFI / MDI</t>
  </si>
  <si>
    <t xml:space="preserve">Total</t>
  </si>
  <si>
    <t xml:space="preserve">Researching</t>
  </si>
  <si>
    <t xml:space="preserve">Email sent</t>
  </si>
  <si>
    <t xml:space="preserve">Follow-up sent</t>
  </si>
  <si>
    <t xml:space="preserve">Call scheduled</t>
  </si>
  <si>
    <t xml:space="preserve">In discussion</t>
  </si>
  <si>
    <t xml:space="preserve">Diligence</t>
  </si>
  <si>
    <t xml:space="preserve">Term sheet</t>
  </si>
  <si>
    <t xml:space="preserve">Won</t>
  </si>
  <si>
    <t xml:space="preserve">Passed - us</t>
  </si>
  <si>
    <t xml:space="preserve">Passed - them</t>
  </si>
  <si>
    <t xml:space="preserve">No response</t>
  </si>
  <si>
    <t xml:space="preserve">TOTAL TARGETS</t>
  </si>
  <si>
    <t xml:space="preserve">ACTIVE PIPELINE (contacted, not yet closed out)</t>
  </si>
  <si>
    <t xml:space="preserve">NEXT ACTIONS</t>
  </si>
  <si>
    <t xml:space="preserve">1. Apply to ICBA ThinkTECH — free, and the highest-yield action available to you. Pierce.Sloan@icba.org</t>
  </si>
  <si>
    <t xml:space="preserve">2. Register for the UBA fintech conference, 29 Sept 2026, Salt Lake City — six weeks out, in your city.</t>
  </si>
  <si>
    <t xml:space="preserve">3. Email Sunrise Banks referencing the Self Financial precedent explicitly.</t>
  </si>
  <si>
    <t xml:space="preserve">4. Email Academy Bank referencing the Atlas ITIN + Spanish-language partnership explicitly.</t>
  </si>
  <si>
    <t xml:space="preserve">5. Call Synctera and ask whether CHARGE_SECURED can be decoupled from a card rail.</t>
  </si>
  <si>
    <t xml:space="preserve">6. Decide SSN-first vs. ITIN-from-launch. Highest-stakes open decision — see strategy doc §0.3.</t>
  </si>
  <si>
    <t xml:space="preserve">7. Decide the furnishing path — longest lead time after the bank itself.</t>
  </si>
  <si>
    <t xml:space="preserve">8. Re-verify every consent order at orders.fdic.gov and apps.occ.gov/EASearch before any outreach.</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</si>
</sst>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name val="Arial"/>
      <family val="0"/>
      <charset val="1"/>
    </font>
    <font>
      <b val="true"/>
      <sz val="12"/>
      <color rgb="FF1F3864"/>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C6EFCE"/>
        <bgColor rgb="FFD9E1F2"/>
      </patternFill>
    </fill>
    <fill>
      <patternFill patternType="solid">
        <fgColor rgb="FFFFFF00"/>
        <bgColor rgb="FFFFFF00"/>
      </patternFill>
    </fill>
    <fill>
      <patternFill patternType="solid">
        <fgColor rgb="FFFFEB9C"/>
        <bgColor rgb="FFF2F2F2"/>
      </patternFill>
    </fill>
    <fill>
      <patternFill patternType="solid">
        <fgColor rgb="FFF2F2F2"/>
        <bgColor rgb="FFFFFFFF"/>
      </patternFill>
    </fill>
    <fill>
      <patternFill patternType="solid">
        <fgColor rgb="FFFFC7CE"/>
        <bgColor rgb="FFD9E1F2"/>
      </patternFill>
    </fill>
    <fill>
      <patternFill patternType="solid">
        <fgColor rgb="FFD9E1F2"/>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5" fontId="6" fillId="8" borderId="1" xfId="0" applyFont="true" applyBorder="true" applyAlignment="true" applyProtection="false">
      <alignment horizontal="center" vertical="bottom"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6"/>
    <col collapsed="false" customWidth="true" hidden="false" outlineLevel="0" max="2" min="2" style="0" width="6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3" t="s">
        <v>6</v>
      </c>
    </row>
    <row r="10" customFormat="false" ht="15" hidden="false" customHeight="false" outlineLevel="0" collapsed="false">
      <c r="A10" s="3" t="s">
        <v>7</v>
      </c>
      <c r="B10" s="4" t="s">
        <v>8</v>
      </c>
    </row>
    <row r="11" customFormat="false" ht="15" hidden="false" customHeight="false" outlineLevel="0" collapsed="false">
      <c r="A11" s="3" t="s">
        <v>9</v>
      </c>
      <c r="B11" s="4" t="s">
        <v>10</v>
      </c>
    </row>
    <row r="12" customFormat="false" ht="15" hidden="false" customHeight="false" outlineLevel="0" collapsed="false">
      <c r="A12" s="3" t="s">
        <v>11</v>
      </c>
      <c r="B12" s="4" t="s">
        <v>12</v>
      </c>
    </row>
    <row r="13" customFormat="false" ht="15" hidden="false" customHeight="false" outlineLevel="0" collapsed="false">
      <c r="A13" s="3" t="s">
        <v>13</v>
      </c>
      <c r="B13" s="4" t="s">
        <v>14</v>
      </c>
    </row>
    <row r="14" customFormat="false" ht="23.85" hidden="false" customHeight="false" outlineLevel="0" collapsed="false">
      <c r="A14" s="3" t="s">
        <v>15</v>
      </c>
      <c r="B14" s="4" t="s">
        <v>16</v>
      </c>
    </row>
    <row r="15" customFormat="false" ht="15" hidden="false" customHeight="false" outlineLevel="0" collapsed="false">
      <c r="A15" s="3" t="s">
        <v>17</v>
      </c>
      <c r="B15" s="4" t="s">
        <v>18</v>
      </c>
    </row>
    <row r="16" customFormat="false" ht="15" hidden="false" customHeight="false" outlineLevel="0" collapsed="false">
      <c r="A16" s="3" t="s">
        <v>19</v>
      </c>
      <c r="B16" s="4" t="s">
        <v>20</v>
      </c>
    </row>
    <row r="17" customFormat="false" ht="15" hidden="false" customHeight="false" outlineLevel="0" collapsed="false">
      <c r="A17" s="2"/>
    </row>
    <row r="18" customFormat="false" ht="15" hidden="false" customHeight="false" outlineLevel="0" collapsed="false">
      <c r="A18" s="3" t="s">
        <v>21</v>
      </c>
    </row>
    <row r="19" customFormat="false" ht="15" hidden="false" customHeight="false" outlineLevel="0" collapsed="false">
      <c r="A19" s="2" t="s">
        <v>22</v>
      </c>
    </row>
    <row r="20" customFormat="false" ht="15" hidden="false" customHeight="false" outlineLevel="0" collapsed="false">
      <c r="A20" s="2" t="s">
        <v>23</v>
      </c>
    </row>
    <row r="21" customFormat="false" ht="15" hidden="false" customHeight="false" outlineLevel="0" collapsed="false">
      <c r="A21" s="2" t="s">
        <v>24</v>
      </c>
    </row>
    <row r="22" customFormat="false" ht="15" hidden="false" customHeight="false" outlineLevel="0" collapsed="false">
      <c r="A22" s="2"/>
    </row>
    <row r="23" customFormat="false" ht="15" hidden="false" customHeight="false" outlineLevel="0" collapsed="false">
      <c r="A23" s="3" t="s">
        <v>25</v>
      </c>
    </row>
    <row r="24" customFormat="false" ht="15" hidden="false" customHeight="false" outlineLevel="0" collapsed="false">
      <c r="A24" s="2" t="s">
        <v>26</v>
      </c>
    </row>
    <row r="25" customFormat="false" ht="15" hidden="false" customHeight="false" outlineLevel="0" collapsed="false">
      <c r="A25" s="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22"/>
    <col collapsed="false" customWidth="true" hidden="false" outlineLevel="0" max="4" min="4" style="0" width="48"/>
    <col collapsed="false" customWidth="true" hidden="false" outlineLevel="0" max="5" min="5" style="0" width="34"/>
    <col collapsed="false" customWidth="true" hidden="false" outlineLevel="0" max="7" min="6" style="0" width="32"/>
    <col collapsed="false" customWidth="true" hidden="false" outlineLevel="0" max="8" min="8" style="0" width="34"/>
    <col collapsed="false" customWidth="true" hidden="false" outlineLevel="0" max="9" min="9" style="0" width="12"/>
    <col collapsed="false" customWidth="true" hidden="false" outlineLevel="0" max="10" min="10" style="0" width="16"/>
    <col collapsed="false" customWidth="true" hidden="false" outlineLevel="0" max="11" min="11" style="0" width="14"/>
    <col collapsed="false" customWidth="true" hidden="false" outlineLevel="0" max="12" min="12" style="0" width="26"/>
    <col collapsed="false" customWidth="true" hidden="false" outlineLevel="0" max="13" min="13" style="0" width="14"/>
    <col collapsed="false" customWidth="true" hidden="false" outlineLevel="0" max="14" min="14" style="0" width="34"/>
  </cols>
  <sheetData>
    <row r="1" customFormat="false" ht="30" hidden="false" customHeight="true" outlineLevel="0" collapsed="false">
      <c r="A1" s="5" t="s">
        <v>28</v>
      </c>
      <c r="B1" s="5" t="s">
        <v>29</v>
      </c>
      <c r="C1" s="5" t="s">
        <v>30</v>
      </c>
      <c r="D1" s="5" t="s">
        <v>31</v>
      </c>
      <c r="E1" s="5" t="s">
        <v>32</v>
      </c>
      <c r="F1" s="5" t="s">
        <v>33</v>
      </c>
      <c r="G1" s="5" t="s">
        <v>34</v>
      </c>
      <c r="H1" s="5" t="s">
        <v>35</v>
      </c>
      <c r="I1" s="5" t="s">
        <v>36</v>
      </c>
      <c r="J1" s="5" t="s">
        <v>37</v>
      </c>
      <c r="K1" s="5" t="s">
        <v>38</v>
      </c>
      <c r="L1" s="5" t="s">
        <v>39</v>
      </c>
      <c r="M1" s="5" t="s">
        <v>40</v>
      </c>
      <c r="N1" s="5" t="s">
        <v>41</v>
      </c>
    </row>
    <row r="2" customFormat="false" ht="57.75" hidden="false" customHeight="true" outlineLevel="0" collapsed="false">
      <c r="A2" s="6" t="s">
        <v>42</v>
      </c>
      <c r="B2" s="7" t="s">
        <v>43</v>
      </c>
      <c r="C2" s="6" t="s">
        <v>44</v>
      </c>
      <c r="D2" s="6" t="s">
        <v>45</v>
      </c>
      <c r="E2" s="6" t="s">
        <v>46</v>
      </c>
      <c r="F2" s="6" t="s">
        <v>47</v>
      </c>
      <c r="G2" s="6" t="s">
        <v>48</v>
      </c>
      <c r="H2" s="6" t="s">
        <v>49</v>
      </c>
      <c r="I2" s="8"/>
      <c r="J2" s="8" t="s">
        <v>50</v>
      </c>
      <c r="K2" s="8"/>
      <c r="L2" s="8"/>
      <c r="M2" s="8"/>
      <c r="N2" s="8"/>
    </row>
    <row r="3" customFormat="false" ht="57.75" hidden="false" customHeight="true" outlineLevel="0" collapsed="false">
      <c r="A3" s="6" t="s">
        <v>51</v>
      </c>
      <c r="B3" s="7" t="s">
        <v>43</v>
      </c>
      <c r="C3" s="6" t="s">
        <v>52</v>
      </c>
      <c r="D3" s="6" t="s">
        <v>53</v>
      </c>
      <c r="E3" s="6" t="s">
        <v>54</v>
      </c>
      <c r="F3" s="6" t="s">
        <v>55</v>
      </c>
      <c r="G3" s="6" t="s">
        <v>56</v>
      </c>
      <c r="H3" s="6" t="s">
        <v>57</v>
      </c>
      <c r="I3" s="8"/>
      <c r="J3" s="8" t="s">
        <v>50</v>
      </c>
      <c r="K3" s="8"/>
      <c r="L3" s="8"/>
      <c r="M3" s="8"/>
      <c r="N3" s="8"/>
    </row>
    <row r="4" customFormat="false" ht="57.75" hidden="false" customHeight="true" outlineLevel="0" collapsed="false">
      <c r="A4" s="6" t="s">
        <v>58</v>
      </c>
      <c r="B4" s="7" t="s">
        <v>43</v>
      </c>
      <c r="C4" s="6" t="s">
        <v>59</v>
      </c>
      <c r="D4" s="6" t="s">
        <v>60</v>
      </c>
      <c r="E4" s="6" t="s">
        <v>61</v>
      </c>
      <c r="F4" s="6" t="s">
        <v>62</v>
      </c>
      <c r="G4" s="6" t="s">
        <v>63</v>
      </c>
      <c r="H4" s="6" t="s">
        <v>64</v>
      </c>
      <c r="I4" s="8"/>
      <c r="J4" s="8" t="s">
        <v>50</v>
      </c>
      <c r="K4" s="8"/>
      <c r="L4" s="8"/>
      <c r="M4" s="8"/>
      <c r="N4" s="8"/>
    </row>
    <row r="5" customFormat="false" ht="57.75" hidden="false" customHeight="true" outlineLevel="0" collapsed="false">
      <c r="A5" s="6" t="s">
        <v>65</v>
      </c>
      <c r="B5" s="9" t="s">
        <v>66</v>
      </c>
      <c r="C5" s="6" t="s">
        <v>67</v>
      </c>
      <c r="D5" s="6" t="s">
        <v>68</v>
      </c>
      <c r="E5" s="6" t="s">
        <v>69</v>
      </c>
      <c r="F5" s="6" t="s">
        <v>70</v>
      </c>
      <c r="G5" s="6" t="s">
        <v>71</v>
      </c>
      <c r="H5" s="6" t="s">
        <v>72</v>
      </c>
      <c r="I5" s="8"/>
      <c r="J5" s="8" t="s">
        <v>50</v>
      </c>
      <c r="K5" s="8"/>
      <c r="L5" s="8"/>
      <c r="M5" s="8"/>
      <c r="N5" s="8"/>
    </row>
    <row r="6" customFormat="false" ht="57.75" hidden="false" customHeight="true" outlineLevel="0" collapsed="false">
      <c r="A6" s="6" t="s">
        <v>73</v>
      </c>
      <c r="B6" s="9" t="s">
        <v>66</v>
      </c>
      <c r="C6" s="6" t="s">
        <v>74</v>
      </c>
      <c r="D6" s="6" t="s">
        <v>75</v>
      </c>
      <c r="E6" s="6" t="s">
        <v>76</v>
      </c>
      <c r="F6" s="6" t="s">
        <v>70</v>
      </c>
      <c r="G6" s="6" t="s">
        <v>77</v>
      </c>
      <c r="H6" s="6" t="s">
        <v>78</v>
      </c>
      <c r="I6" s="8"/>
      <c r="J6" s="8" t="s">
        <v>50</v>
      </c>
      <c r="K6" s="8"/>
      <c r="L6" s="8"/>
      <c r="M6" s="8"/>
      <c r="N6" s="8"/>
    </row>
    <row r="7" customFormat="false" ht="57.75" hidden="false" customHeight="true" outlineLevel="0" collapsed="false">
      <c r="A7" s="6" t="s">
        <v>79</v>
      </c>
      <c r="B7" s="10" t="s">
        <v>80</v>
      </c>
      <c r="C7" s="6" t="s">
        <v>81</v>
      </c>
      <c r="D7" s="6" t="s">
        <v>82</v>
      </c>
      <c r="E7" s="6" t="s">
        <v>83</v>
      </c>
      <c r="F7" s="6" t="s">
        <v>70</v>
      </c>
      <c r="G7" s="6" t="s">
        <v>84</v>
      </c>
      <c r="H7" s="6" t="s">
        <v>85</v>
      </c>
      <c r="I7" s="8"/>
      <c r="J7" s="8" t="s">
        <v>50</v>
      </c>
      <c r="K7" s="8"/>
      <c r="L7" s="8"/>
      <c r="M7" s="8"/>
      <c r="N7" s="8"/>
    </row>
    <row r="8" customFormat="false" ht="57.75" hidden="false" customHeight="true" outlineLevel="0" collapsed="false">
      <c r="A8" s="6" t="s">
        <v>86</v>
      </c>
      <c r="B8" s="10" t="s">
        <v>80</v>
      </c>
      <c r="C8" s="6" t="s">
        <v>87</v>
      </c>
      <c r="D8" s="6" t="s">
        <v>88</v>
      </c>
      <c r="E8" s="6" t="s">
        <v>89</v>
      </c>
      <c r="F8" s="6" t="s">
        <v>70</v>
      </c>
      <c r="G8" s="6" t="s">
        <v>77</v>
      </c>
      <c r="H8" s="6" t="s">
        <v>90</v>
      </c>
      <c r="I8" s="8"/>
      <c r="J8" s="8" t="s">
        <v>50</v>
      </c>
      <c r="K8" s="8"/>
      <c r="L8" s="8"/>
      <c r="M8" s="8"/>
      <c r="N8" s="8"/>
    </row>
    <row r="9" customFormat="false" ht="57.75" hidden="false" customHeight="true" outlineLevel="0" collapsed="false">
      <c r="A9" s="6" t="s">
        <v>91</v>
      </c>
      <c r="B9" s="10" t="s">
        <v>80</v>
      </c>
      <c r="C9" s="6" t="s">
        <v>92</v>
      </c>
      <c r="D9" s="6" t="s">
        <v>93</v>
      </c>
      <c r="E9" s="6" t="s">
        <v>94</v>
      </c>
      <c r="F9" s="6" t="s">
        <v>70</v>
      </c>
      <c r="G9" s="6" t="s">
        <v>77</v>
      </c>
      <c r="H9" s="6" t="s">
        <v>95</v>
      </c>
      <c r="I9" s="8"/>
      <c r="J9" s="8" t="s">
        <v>50</v>
      </c>
      <c r="K9" s="8"/>
      <c r="L9" s="8"/>
      <c r="M9" s="8"/>
      <c r="N9" s="8"/>
    </row>
    <row r="10" customFormat="false" ht="57.75" hidden="false" customHeight="true" outlineLevel="0" collapsed="false">
      <c r="A10" s="6" t="s">
        <v>96</v>
      </c>
      <c r="B10" s="10" t="s">
        <v>80</v>
      </c>
      <c r="C10" s="6" t="s">
        <v>97</v>
      </c>
      <c r="D10" s="6" t="s">
        <v>98</v>
      </c>
      <c r="E10" s="6" t="s">
        <v>99</v>
      </c>
      <c r="F10" s="6" t="s">
        <v>70</v>
      </c>
      <c r="G10" s="6" t="s">
        <v>77</v>
      </c>
      <c r="H10" s="6" t="s">
        <v>100</v>
      </c>
      <c r="I10" s="8"/>
      <c r="J10" s="8" t="s">
        <v>50</v>
      </c>
      <c r="K10" s="8"/>
      <c r="L10" s="8"/>
      <c r="M10" s="8"/>
      <c r="N10" s="8"/>
    </row>
    <row r="11" customFormat="false" ht="57.75" hidden="false" customHeight="true" outlineLevel="0" collapsed="false">
      <c r="A11" s="6" t="s">
        <v>101</v>
      </c>
      <c r="B11" s="10" t="s">
        <v>80</v>
      </c>
      <c r="C11" s="6" t="s">
        <v>102</v>
      </c>
      <c r="D11" s="6" t="s">
        <v>103</v>
      </c>
      <c r="E11" s="6" t="s">
        <v>104</v>
      </c>
      <c r="F11" s="6" t="s">
        <v>70</v>
      </c>
      <c r="G11" s="6" t="s">
        <v>77</v>
      </c>
      <c r="H11" s="6" t="s">
        <v>105</v>
      </c>
      <c r="I11" s="8"/>
      <c r="J11" s="8" t="s">
        <v>50</v>
      </c>
      <c r="K11" s="8"/>
      <c r="L11" s="8"/>
      <c r="M11" s="8"/>
      <c r="N11" s="8"/>
    </row>
    <row r="12" customFormat="false" ht="57.75" hidden="false" customHeight="true" outlineLevel="0" collapsed="false">
      <c r="A12" s="6" t="s">
        <v>106</v>
      </c>
      <c r="B12" s="10" t="s">
        <v>107</v>
      </c>
      <c r="C12" s="6" t="s">
        <v>52</v>
      </c>
      <c r="D12" s="6" t="s">
        <v>108</v>
      </c>
      <c r="E12" s="6" t="s">
        <v>109</v>
      </c>
      <c r="F12" s="6" t="s">
        <v>70</v>
      </c>
      <c r="G12" s="6" t="s">
        <v>110</v>
      </c>
      <c r="H12" s="6" t="s">
        <v>111</v>
      </c>
      <c r="I12" s="8"/>
      <c r="J12" s="8" t="s">
        <v>50</v>
      </c>
      <c r="K12" s="8"/>
      <c r="L12" s="8"/>
      <c r="M12" s="8"/>
      <c r="N12" s="8"/>
    </row>
    <row r="13" customFormat="false" ht="57.75" hidden="false" customHeight="true" outlineLevel="0" collapsed="false">
      <c r="A13" s="6" t="s">
        <v>112</v>
      </c>
      <c r="B13" s="10" t="s">
        <v>107</v>
      </c>
      <c r="C13" s="6" t="s">
        <v>113</v>
      </c>
      <c r="D13" s="6" t="s">
        <v>114</v>
      </c>
      <c r="E13" s="6" t="s">
        <v>115</v>
      </c>
      <c r="F13" s="6" t="s">
        <v>70</v>
      </c>
      <c r="G13" s="6" t="s">
        <v>116</v>
      </c>
      <c r="H13" s="6" t="s">
        <v>117</v>
      </c>
      <c r="I13" s="8"/>
      <c r="J13" s="8" t="s">
        <v>50</v>
      </c>
      <c r="K13" s="8"/>
      <c r="L13" s="8"/>
      <c r="M13" s="8"/>
      <c r="N13" s="8"/>
    </row>
    <row r="14" customFormat="false" ht="57.75" hidden="false" customHeight="true" outlineLevel="0" collapsed="false">
      <c r="A14" s="6" t="s">
        <v>118</v>
      </c>
      <c r="B14" s="7" t="s">
        <v>43</v>
      </c>
      <c r="C14" s="6" t="s">
        <v>119</v>
      </c>
      <c r="D14" s="6" t="s">
        <v>120</v>
      </c>
      <c r="E14" s="6" t="s">
        <v>121</v>
      </c>
      <c r="F14" s="6" t="s">
        <v>70</v>
      </c>
      <c r="G14" s="6" t="s">
        <v>122</v>
      </c>
      <c r="H14" s="6" t="s">
        <v>123</v>
      </c>
      <c r="I14" s="8" t="s">
        <v>124</v>
      </c>
      <c r="J14" s="8" t="s">
        <v>50</v>
      </c>
      <c r="K14" s="8"/>
      <c r="L14" s="8" t="s">
        <v>125</v>
      </c>
      <c r="M14" s="8"/>
      <c r="N14" s="8"/>
    </row>
  </sheetData>
  <dataValidations count="1">
    <dataValidation allowBlank="true" errorStyle="stop" operator="between" showDropDown="false" showErrorMessage="false" showInputMessage="false" sqref="J2:J19" type="list">
      <formula1>"Not started,Researching,Email sent,Follow-up sent,Call scheduled,In discussion,Diligence,Term sheet,Won,Passed - us,Passed - them,No response"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4"/>
    <col collapsed="false" customWidth="true" hidden="false" outlineLevel="0" max="4" min="4" style="0" width="52"/>
    <col collapsed="false" customWidth="true" hidden="false" outlineLevel="0" max="5" min="5" style="0" width="32"/>
    <col collapsed="false" customWidth="true" hidden="false" outlineLevel="0" max="6" min="6" style="0" width="22"/>
    <col collapsed="false" customWidth="true" hidden="false" outlineLevel="0" max="7" min="7" style="0" width="34"/>
    <col collapsed="false" customWidth="true" hidden="false" outlineLevel="0" max="8" min="8" style="0" width="40"/>
    <col collapsed="false" customWidth="true" hidden="false" outlineLevel="0" max="9" min="9" style="0" width="12"/>
    <col collapsed="false" customWidth="true" hidden="false" outlineLevel="0" max="10" min="10" style="0" width="16"/>
    <col collapsed="false" customWidth="true" hidden="false" outlineLevel="0" max="11" min="11" style="0" width="14"/>
    <col collapsed="false" customWidth="true" hidden="false" outlineLevel="0" max="12" min="12" style="0" width="26"/>
    <col collapsed="false" customWidth="true" hidden="false" outlineLevel="0" max="13" min="13" style="0" width="14"/>
    <col collapsed="false" customWidth="true" hidden="false" outlineLevel="0" max="14" min="14" style="0" width="34"/>
  </cols>
  <sheetData>
    <row r="1" customFormat="false" ht="30" hidden="false" customHeight="true" outlineLevel="0" collapsed="false">
      <c r="A1" s="5" t="s">
        <v>126</v>
      </c>
      <c r="B1" s="5" t="s">
        <v>29</v>
      </c>
      <c r="C1" s="5" t="s">
        <v>127</v>
      </c>
      <c r="D1" s="5" t="s">
        <v>128</v>
      </c>
      <c r="E1" s="5" t="s">
        <v>129</v>
      </c>
      <c r="F1" s="5" t="s">
        <v>130</v>
      </c>
      <c r="G1" s="5" t="s">
        <v>131</v>
      </c>
      <c r="H1" s="5" t="s">
        <v>35</v>
      </c>
      <c r="I1" s="5" t="s">
        <v>36</v>
      </c>
      <c r="J1" s="5" t="s">
        <v>37</v>
      </c>
      <c r="K1" s="5" t="s">
        <v>38</v>
      </c>
      <c r="L1" s="5" t="s">
        <v>39</v>
      </c>
      <c r="M1" s="5" t="s">
        <v>40</v>
      </c>
      <c r="N1" s="5" t="s">
        <v>41</v>
      </c>
    </row>
    <row r="2" customFormat="false" ht="57.75" hidden="false" customHeight="true" outlineLevel="0" collapsed="false">
      <c r="A2" s="6" t="s">
        <v>132</v>
      </c>
      <c r="B2" s="7" t="s">
        <v>43</v>
      </c>
      <c r="C2" s="6" t="s">
        <v>133</v>
      </c>
      <c r="D2" s="6" t="s">
        <v>134</v>
      </c>
      <c r="E2" s="6" t="s">
        <v>135</v>
      </c>
      <c r="F2" s="6" t="s">
        <v>136</v>
      </c>
      <c r="G2" s="6" t="s">
        <v>137</v>
      </c>
      <c r="H2" s="6" t="s">
        <v>138</v>
      </c>
      <c r="I2" s="8"/>
      <c r="J2" s="8" t="s">
        <v>50</v>
      </c>
      <c r="K2" s="8"/>
      <c r="L2" s="8"/>
      <c r="M2" s="8"/>
      <c r="N2" s="8"/>
    </row>
    <row r="3" customFormat="false" ht="57.75" hidden="false" customHeight="true" outlineLevel="0" collapsed="false">
      <c r="A3" s="6" t="s">
        <v>139</v>
      </c>
      <c r="B3" s="7" t="s">
        <v>43</v>
      </c>
      <c r="C3" s="6" t="s">
        <v>140</v>
      </c>
      <c r="D3" s="6" t="s">
        <v>141</v>
      </c>
      <c r="E3" s="6" t="s">
        <v>142</v>
      </c>
      <c r="F3" s="6" t="s">
        <v>143</v>
      </c>
      <c r="G3" s="6" t="s">
        <v>144</v>
      </c>
      <c r="H3" s="6" t="s">
        <v>145</v>
      </c>
      <c r="I3" s="8"/>
      <c r="J3" s="8" t="s">
        <v>50</v>
      </c>
      <c r="K3" s="8"/>
      <c r="L3" s="8"/>
      <c r="M3" s="8"/>
      <c r="N3" s="8"/>
    </row>
    <row r="4" customFormat="false" ht="57.75" hidden="false" customHeight="true" outlineLevel="0" collapsed="false">
      <c r="A4" s="6" t="s">
        <v>146</v>
      </c>
      <c r="B4" s="9" t="s">
        <v>147</v>
      </c>
      <c r="C4" s="6" t="s">
        <v>148</v>
      </c>
      <c r="D4" s="6" t="s">
        <v>149</v>
      </c>
      <c r="E4" s="6" t="s">
        <v>150</v>
      </c>
      <c r="F4" s="6" t="s">
        <v>151</v>
      </c>
      <c r="G4" s="6" t="s">
        <v>152</v>
      </c>
      <c r="H4" s="6" t="s">
        <v>153</v>
      </c>
      <c r="I4" s="8"/>
      <c r="J4" s="8" t="s">
        <v>50</v>
      </c>
      <c r="K4" s="8"/>
      <c r="L4" s="8"/>
      <c r="M4" s="8"/>
      <c r="N4" s="8"/>
    </row>
    <row r="5" customFormat="false" ht="57.75" hidden="false" customHeight="true" outlineLevel="0" collapsed="false">
      <c r="A5" s="6" t="s">
        <v>154</v>
      </c>
      <c r="B5" s="9" t="s">
        <v>147</v>
      </c>
      <c r="C5" s="6" t="s">
        <v>155</v>
      </c>
      <c r="D5" s="6" t="s">
        <v>156</v>
      </c>
      <c r="E5" s="6" t="s">
        <v>157</v>
      </c>
      <c r="F5" s="6" t="s">
        <v>158</v>
      </c>
      <c r="G5" s="6" t="s">
        <v>159</v>
      </c>
      <c r="H5" s="6" t="s">
        <v>160</v>
      </c>
      <c r="I5" s="8"/>
      <c r="J5" s="8" t="s">
        <v>50</v>
      </c>
      <c r="K5" s="8"/>
      <c r="L5" s="8"/>
      <c r="M5" s="8"/>
      <c r="N5" s="8"/>
    </row>
    <row r="6" customFormat="false" ht="57.75" hidden="false" customHeight="true" outlineLevel="0" collapsed="false">
      <c r="A6" s="6" t="s">
        <v>91</v>
      </c>
      <c r="B6" s="9" t="s">
        <v>161</v>
      </c>
      <c r="C6" s="6" t="s">
        <v>162</v>
      </c>
      <c r="D6" s="6" t="s">
        <v>163</v>
      </c>
      <c r="E6" s="6" t="s">
        <v>164</v>
      </c>
      <c r="F6" s="6" t="s">
        <v>165</v>
      </c>
      <c r="G6" s="6" t="s">
        <v>166</v>
      </c>
      <c r="H6" s="6" t="s">
        <v>167</v>
      </c>
      <c r="I6" s="8"/>
      <c r="J6" s="8" t="s">
        <v>50</v>
      </c>
      <c r="K6" s="8"/>
      <c r="L6" s="8"/>
      <c r="M6" s="8"/>
      <c r="N6" s="8"/>
    </row>
    <row r="7" customFormat="false" ht="57.75" hidden="false" customHeight="true" outlineLevel="0" collapsed="false">
      <c r="A7" s="6" t="s">
        <v>168</v>
      </c>
      <c r="B7" s="10" t="s">
        <v>80</v>
      </c>
      <c r="C7" s="6" t="s">
        <v>169</v>
      </c>
      <c r="D7" s="6" t="s">
        <v>170</v>
      </c>
      <c r="E7" s="6" t="s">
        <v>171</v>
      </c>
      <c r="F7" s="6" t="s">
        <v>172</v>
      </c>
      <c r="G7" s="6" t="s">
        <v>173</v>
      </c>
      <c r="H7" s="6" t="s">
        <v>174</v>
      </c>
      <c r="I7" s="8"/>
      <c r="J7" s="8" t="s">
        <v>50</v>
      </c>
      <c r="K7" s="8"/>
      <c r="L7" s="8"/>
      <c r="M7" s="8"/>
      <c r="N7" s="8"/>
    </row>
    <row r="8" customFormat="false" ht="57.75" hidden="false" customHeight="true" outlineLevel="0" collapsed="false">
      <c r="A8" s="6" t="s">
        <v>175</v>
      </c>
      <c r="B8" s="10" t="s">
        <v>176</v>
      </c>
      <c r="C8" s="6" t="s">
        <v>177</v>
      </c>
      <c r="D8" s="6" t="s">
        <v>178</v>
      </c>
      <c r="E8" s="6" t="s">
        <v>179</v>
      </c>
      <c r="F8" s="6" t="s">
        <v>180</v>
      </c>
      <c r="G8" s="6" t="s">
        <v>181</v>
      </c>
      <c r="H8" s="6" t="s">
        <v>182</v>
      </c>
      <c r="I8" s="8"/>
      <c r="J8" s="8" t="s">
        <v>50</v>
      </c>
      <c r="K8" s="8"/>
      <c r="L8" s="8"/>
      <c r="M8" s="8"/>
      <c r="N8" s="8"/>
    </row>
    <row r="9" customFormat="false" ht="57.75" hidden="false" customHeight="true" outlineLevel="0" collapsed="false">
      <c r="A9" s="6" t="s">
        <v>183</v>
      </c>
      <c r="B9" s="11" t="s">
        <v>184</v>
      </c>
      <c r="C9" s="6" t="s">
        <v>185</v>
      </c>
      <c r="D9" s="6" t="s">
        <v>186</v>
      </c>
      <c r="E9" s="6" t="s">
        <v>187</v>
      </c>
      <c r="F9" s="6" t="s">
        <v>143</v>
      </c>
      <c r="G9" s="6" t="s">
        <v>188</v>
      </c>
      <c r="H9" s="6" t="s">
        <v>189</v>
      </c>
      <c r="I9" s="8"/>
      <c r="J9" s="8" t="s">
        <v>50</v>
      </c>
      <c r="K9" s="8"/>
      <c r="L9" s="8"/>
      <c r="M9" s="8"/>
      <c r="N9" s="8"/>
    </row>
    <row r="10" customFormat="false" ht="57.75" hidden="false" customHeight="true" outlineLevel="0" collapsed="false">
      <c r="A10" s="6" t="s">
        <v>190</v>
      </c>
      <c r="B10" s="11" t="s">
        <v>184</v>
      </c>
      <c r="C10" s="6" t="s">
        <v>191</v>
      </c>
      <c r="D10" s="6" t="s">
        <v>192</v>
      </c>
      <c r="E10" s="6" t="s">
        <v>193</v>
      </c>
      <c r="F10" s="6" t="s">
        <v>143</v>
      </c>
      <c r="G10" s="6" t="s">
        <v>194</v>
      </c>
      <c r="H10" s="6" t="s">
        <v>195</v>
      </c>
      <c r="I10" s="8"/>
      <c r="J10" s="8" t="s">
        <v>50</v>
      </c>
      <c r="K10" s="8"/>
      <c r="L10" s="8"/>
      <c r="M10" s="8"/>
      <c r="N10" s="8"/>
    </row>
    <row r="11" customFormat="false" ht="57.75" hidden="false" customHeight="true" outlineLevel="0" collapsed="false">
      <c r="A11" s="6" t="s">
        <v>196</v>
      </c>
      <c r="B11" s="7" t="s">
        <v>197</v>
      </c>
      <c r="C11" s="6" t="s">
        <v>198</v>
      </c>
      <c r="D11" s="6" t="s">
        <v>199</v>
      </c>
      <c r="E11" s="6" t="s">
        <v>200</v>
      </c>
      <c r="F11" s="6" t="s">
        <v>201</v>
      </c>
      <c r="G11" s="6" t="s">
        <v>173</v>
      </c>
      <c r="H11" s="6" t="s">
        <v>202</v>
      </c>
      <c r="I11" s="8"/>
      <c r="J11" s="8" t="s">
        <v>50</v>
      </c>
      <c r="K11" s="8"/>
      <c r="L11" s="8"/>
      <c r="M11" s="8"/>
      <c r="N11" s="8"/>
    </row>
    <row r="12" customFormat="false" ht="57.75" hidden="false" customHeight="true" outlineLevel="0" collapsed="false">
      <c r="A12" s="6" t="s">
        <v>203</v>
      </c>
      <c r="B12" s="9" t="s">
        <v>204</v>
      </c>
      <c r="C12" s="6" t="s">
        <v>198</v>
      </c>
      <c r="D12" s="6" t="s">
        <v>205</v>
      </c>
      <c r="E12" s="6" t="s">
        <v>200</v>
      </c>
      <c r="F12" s="6" t="s">
        <v>201</v>
      </c>
      <c r="G12" s="6" t="s">
        <v>173</v>
      </c>
      <c r="H12" s="6" t="s">
        <v>206</v>
      </c>
      <c r="I12" s="8"/>
      <c r="J12" s="8" t="s">
        <v>50</v>
      </c>
      <c r="K12" s="8"/>
      <c r="L12" s="8"/>
      <c r="M12" s="8"/>
      <c r="N12" s="8"/>
    </row>
    <row r="13" customFormat="false" ht="57.75" hidden="false" customHeight="true" outlineLevel="0" collapsed="false">
      <c r="A13" s="6" t="s">
        <v>118</v>
      </c>
      <c r="B13" s="7" t="s">
        <v>43</v>
      </c>
      <c r="C13" s="6" t="s">
        <v>207</v>
      </c>
      <c r="D13" s="6" t="s">
        <v>208</v>
      </c>
      <c r="E13" s="6" t="s">
        <v>209</v>
      </c>
      <c r="F13" s="6" t="s">
        <v>210</v>
      </c>
      <c r="G13" s="6" t="s">
        <v>173</v>
      </c>
      <c r="H13" s="6" t="s">
        <v>211</v>
      </c>
      <c r="I13" s="8"/>
      <c r="J13" s="8" t="s">
        <v>50</v>
      </c>
      <c r="K13" s="8"/>
      <c r="L13" s="8"/>
      <c r="M13" s="8"/>
      <c r="N13" s="8"/>
    </row>
  </sheetData>
  <dataValidations count="1">
    <dataValidation allowBlank="true" errorStyle="stop" operator="between" showDropDown="false" showErrorMessage="false" showInputMessage="false" sqref="J2:J18" type="list">
      <formula1>"Not started,Researching,Email sent,Follow-up sent,Call scheduled,In discussion,Diligence,Term sheet,Won,Passed - us,Passed - them,No response"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3"/>
    <col collapsed="false" customWidth="true" hidden="false" outlineLevel="0" max="3" min="3" style="0" width="26"/>
    <col collapsed="false" customWidth="true" hidden="false" outlineLevel="0" max="4" min="4" style="0" width="34"/>
    <col collapsed="false" customWidth="true" hidden="false" outlineLevel="0" max="5" min="5" style="0" width="50"/>
    <col collapsed="false" customWidth="true" hidden="false" outlineLevel="0" max="6" min="6" style="0" width="30"/>
    <col collapsed="false" customWidth="true" hidden="false" outlineLevel="0" max="7" min="7" style="0" width="32"/>
    <col collapsed="false" customWidth="true" hidden="false" outlineLevel="0" max="8" min="8" style="0" width="36"/>
    <col collapsed="false" customWidth="true" hidden="false" outlineLevel="0" max="9" min="9" style="0" width="12"/>
    <col collapsed="false" customWidth="true" hidden="false" outlineLevel="0" max="10" min="10" style="0" width="16"/>
    <col collapsed="false" customWidth="true" hidden="false" outlineLevel="0" max="11" min="11" style="0" width="14"/>
    <col collapsed="false" customWidth="true" hidden="false" outlineLevel="0" max="12" min="12" style="0" width="26"/>
    <col collapsed="false" customWidth="true" hidden="false" outlineLevel="0" max="13" min="13" style="0" width="14"/>
    <col collapsed="false" customWidth="true" hidden="false" outlineLevel="0" max="14" min="14" style="0" width="34"/>
  </cols>
  <sheetData>
    <row r="1" customFormat="false" ht="30" hidden="false" customHeight="true" outlineLevel="0" collapsed="false">
      <c r="A1" s="5" t="s">
        <v>28</v>
      </c>
      <c r="B1" s="5" t="s">
        <v>29</v>
      </c>
      <c r="C1" s="5" t="s">
        <v>212</v>
      </c>
      <c r="D1" s="5" t="s">
        <v>213</v>
      </c>
      <c r="E1" s="5" t="s">
        <v>128</v>
      </c>
      <c r="F1" s="5" t="s">
        <v>214</v>
      </c>
      <c r="G1" s="5" t="s">
        <v>215</v>
      </c>
      <c r="H1" s="5" t="s">
        <v>35</v>
      </c>
      <c r="I1" s="5" t="s">
        <v>36</v>
      </c>
      <c r="J1" s="5" t="s">
        <v>37</v>
      </c>
      <c r="K1" s="5" t="s">
        <v>38</v>
      </c>
      <c r="L1" s="5" t="s">
        <v>39</v>
      </c>
      <c r="M1" s="5" t="s">
        <v>40</v>
      </c>
      <c r="N1" s="5" t="s">
        <v>41</v>
      </c>
    </row>
    <row r="2" customFormat="false" ht="57.75" hidden="false" customHeight="true" outlineLevel="0" collapsed="false">
      <c r="A2" s="6" t="s">
        <v>42</v>
      </c>
      <c r="B2" s="7" t="s">
        <v>43</v>
      </c>
      <c r="C2" s="6" t="s">
        <v>216</v>
      </c>
      <c r="D2" s="6" t="s">
        <v>217</v>
      </c>
      <c r="E2" s="6" t="s">
        <v>218</v>
      </c>
      <c r="F2" s="6" t="s">
        <v>219</v>
      </c>
      <c r="G2" s="6" t="s">
        <v>220</v>
      </c>
      <c r="H2" s="6" t="s">
        <v>221</v>
      </c>
      <c r="I2" s="8"/>
      <c r="J2" s="8" t="s">
        <v>50</v>
      </c>
      <c r="K2" s="8"/>
      <c r="L2" s="8"/>
      <c r="M2" s="8"/>
      <c r="N2" s="8"/>
    </row>
    <row r="3" customFormat="false" ht="57.75" hidden="false" customHeight="true" outlineLevel="0" collapsed="false">
      <c r="A3" s="6" t="s">
        <v>222</v>
      </c>
      <c r="B3" s="9" t="s">
        <v>66</v>
      </c>
      <c r="C3" s="6" t="s">
        <v>223</v>
      </c>
      <c r="D3" s="6" t="s">
        <v>224</v>
      </c>
      <c r="E3" s="6" t="s">
        <v>225</v>
      </c>
      <c r="F3" s="6" t="s">
        <v>226</v>
      </c>
      <c r="G3" s="6" t="s">
        <v>227</v>
      </c>
      <c r="H3" s="6" t="s">
        <v>228</v>
      </c>
      <c r="I3" s="8"/>
      <c r="J3" s="8" t="s">
        <v>50</v>
      </c>
      <c r="K3" s="8"/>
      <c r="L3" s="8"/>
      <c r="M3" s="8"/>
      <c r="N3" s="8"/>
    </row>
    <row r="4" customFormat="false" ht="57.75" hidden="false" customHeight="true" outlineLevel="0" collapsed="false">
      <c r="A4" s="6" t="s">
        <v>229</v>
      </c>
      <c r="B4" s="9" t="s">
        <v>66</v>
      </c>
      <c r="C4" s="6" t="s">
        <v>230</v>
      </c>
      <c r="D4" s="6" t="s">
        <v>231</v>
      </c>
      <c r="E4" s="6" t="s">
        <v>232</v>
      </c>
      <c r="F4" s="6" t="s">
        <v>233</v>
      </c>
      <c r="G4" s="6" t="s">
        <v>234</v>
      </c>
      <c r="H4" s="6" t="s">
        <v>235</v>
      </c>
      <c r="I4" s="8"/>
      <c r="J4" s="8" t="s">
        <v>50</v>
      </c>
      <c r="K4" s="8"/>
      <c r="L4" s="8"/>
      <c r="M4" s="8"/>
      <c r="N4" s="8"/>
    </row>
    <row r="5" customFormat="false" ht="57.75" hidden="false" customHeight="true" outlineLevel="0" collapsed="false">
      <c r="A5" s="6" t="s">
        <v>236</v>
      </c>
      <c r="B5" s="10" t="s">
        <v>80</v>
      </c>
      <c r="C5" s="6" t="s">
        <v>237</v>
      </c>
      <c r="D5" s="6" t="s">
        <v>238</v>
      </c>
      <c r="E5" s="6" t="s">
        <v>239</v>
      </c>
      <c r="F5" s="6" t="s">
        <v>240</v>
      </c>
      <c r="G5" s="6" t="s">
        <v>241</v>
      </c>
      <c r="H5" s="6" t="s">
        <v>242</v>
      </c>
      <c r="I5" s="8"/>
      <c r="J5" s="8" t="s">
        <v>50</v>
      </c>
      <c r="K5" s="8"/>
      <c r="L5" s="8"/>
      <c r="M5" s="8"/>
      <c r="N5" s="8"/>
    </row>
    <row r="6" customFormat="false" ht="57.75" hidden="false" customHeight="true" outlineLevel="0" collapsed="false">
      <c r="A6" s="6" t="s">
        <v>243</v>
      </c>
      <c r="B6" s="10" t="s">
        <v>80</v>
      </c>
      <c r="C6" s="6" t="s">
        <v>244</v>
      </c>
      <c r="D6" s="6" t="s">
        <v>245</v>
      </c>
      <c r="E6" s="6" t="s">
        <v>246</v>
      </c>
      <c r="F6" s="6" t="s">
        <v>247</v>
      </c>
      <c r="G6" s="6" t="s">
        <v>248</v>
      </c>
      <c r="H6" s="6" t="s">
        <v>249</v>
      </c>
      <c r="I6" s="8"/>
      <c r="J6" s="8" t="s">
        <v>50</v>
      </c>
      <c r="K6" s="8"/>
      <c r="L6" s="8"/>
      <c r="M6" s="8"/>
      <c r="N6" s="8"/>
    </row>
    <row r="7" customFormat="false" ht="57.75" hidden="false" customHeight="true" outlineLevel="0" collapsed="false">
      <c r="A7" s="6" t="s">
        <v>250</v>
      </c>
      <c r="B7" s="10" t="s">
        <v>107</v>
      </c>
      <c r="C7" s="6" t="s">
        <v>251</v>
      </c>
      <c r="D7" s="6" t="s">
        <v>252</v>
      </c>
      <c r="E7" s="6" t="s">
        <v>253</v>
      </c>
      <c r="F7" s="6" t="s">
        <v>234</v>
      </c>
      <c r="G7" s="6" t="s">
        <v>254</v>
      </c>
      <c r="H7" s="6" t="s">
        <v>255</v>
      </c>
      <c r="I7" s="8"/>
      <c r="J7" s="8" t="s">
        <v>50</v>
      </c>
      <c r="K7" s="8"/>
      <c r="L7" s="8"/>
      <c r="M7" s="8"/>
      <c r="N7" s="8"/>
    </row>
    <row r="8" customFormat="false" ht="57.75" hidden="false" customHeight="true" outlineLevel="0" collapsed="false">
      <c r="A8" s="6" t="s">
        <v>256</v>
      </c>
      <c r="B8" s="10" t="s">
        <v>107</v>
      </c>
      <c r="C8" s="6" t="s">
        <v>237</v>
      </c>
      <c r="D8" s="6" t="s">
        <v>257</v>
      </c>
      <c r="E8" s="6" t="s">
        <v>258</v>
      </c>
      <c r="F8" s="6" t="s">
        <v>259</v>
      </c>
      <c r="G8" s="6" t="s">
        <v>77</v>
      </c>
      <c r="H8" s="6" t="s">
        <v>260</v>
      </c>
      <c r="I8" s="8"/>
      <c r="J8" s="8" t="s">
        <v>50</v>
      </c>
      <c r="K8" s="8"/>
      <c r="L8" s="8"/>
      <c r="M8" s="8"/>
      <c r="N8" s="8"/>
    </row>
    <row r="9" customFormat="false" ht="57.75" hidden="false" customHeight="true" outlineLevel="0" collapsed="false">
      <c r="A9" s="6" t="s">
        <v>261</v>
      </c>
      <c r="B9" s="7" t="s">
        <v>262</v>
      </c>
      <c r="C9" s="6" t="s">
        <v>263</v>
      </c>
      <c r="D9" s="6" t="s">
        <v>264</v>
      </c>
      <c r="E9" s="6" t="s">
        <v>265</v>
      </c>
      <c r="F9" s="6" t="s">
        <v>201</v>
      </c>
      <c r="G9" s="6" t="s">
        <v>266</v>
      </c>
      <c r="H9" s="6" t="s">
        <v>267</v>
      </c>
      <c r="I9" s="8"/>
      <c r="J9" s="8" t="s">
        <v>50</v>
      </c>
      <c r="K9" s="8"/>
      <c r="L9" s="8"/>
      <c r="M9" s="8"/>
      <c r="N9" s="8"/>
    </row>
    <row r="10" customFormat="false" ht="57.75" hidden="false" customHeight="true" outlineLevel="0" collapsed="false">
      <c r="A10" s="6" t="s">
        <v>268</v>
      </c>
      <c r="B10" s="7" t="s">
        <v>262</v>
      </c>
      <c r="C10" s="6" t="s">
        <v>269</v>
      </c>
      <c r="D10" s="6" t="s">
        <v>270</v>
      </c>
      <c r="E10" s="6" t="s">
        <v>271</v>
      </c>
      <c r="F10" s="6" t="s">
        <v>201</v>
      </c>
      <c r="G10" s="6" t="s">
        <v>201</v>
      </c>
      <c r="H10" s="6" t="s">
        <v>272</v>
      </c>
      <c r="I10" s="8"/>
      <c r="J10" s="8" t="s">
        <v>50</v>
      </c>
      <c r="K10" s="8"/>
      <c r="L10" s="8"/>
      <c r="M10" s="8"/>
      <c r="N10" s="8"/>
    </row>
    <row r="11" customFormat="false" ht="57.75" hidden="false" customHeight="true" outlineLevel="0" collapsed="false">
      <c r="A11" s="6" t="s">
        <v>273</v>
      </c>
      <c r="B11" s="9" t="s">
        <v>274</v>
      </c>
      <c r="C11" s="6" t="s">
        <v>275</v>
      </c>
      <c r="D11" s="6" t="s">
        <v>264</v>
      </c>
      <c r="E11" s="6" t="s">
        <v>276</v>
      </c>
      <c r="F11" s="6" t="s">
        <v>201</v>
      </c>
      <c r="G11" s="6" t="s">
        <v>201</v>
      </c>
      <c r="H11" s="6" t="s">
        <v>277</v>
      </c>
      <c r="I11" s="8"/>
      <c r="J11" s="8" t="s">
        <v>50</v>
      </c>
      <c r="K11" s="8"/>
      <c r="L11" s="8"/>
      <c r="M11" s="8"/>
      <c r="N11" s="8"/>
    </row>
    <row r="12" customFormat="false" ht="57.75" hidden="false" customHeight="true" outlineLevel="0" collapsed="false">
      <c r="A12" s="6" t="s">
        <v>278</v>
      </c>
      <c r="B12" s="9" t="s">
        <v>274</v>
      </c>
      <c r="C12" s="6" t="s">
        <v>279</v>
      </c>
      <c r="D12" s="6" t="s">
        <v>264</v>
      </c>
      <c r="E12" s="6" t="s">
        <v>280</v>
      </c>
      <c r="F12" s="6" t="s">
        <v>201</v>
      </c>
      <c r="G12" s="6" t="s">
        <v>201</v>
      </c>
      <c r="H12" s="6" t="s">
        <v>281</v>
      </c>
      <c r="I12" s="8"/>
      <c r="J12" s="8" t="s">
        <v>50</v>
      </c>
      <c r="K12" s="8"/>
      <c r="L12" s="8"/>
      <c r="M12" s="8"/>
      <c r="N12" s="8"/>
    </row>
    <row r="13" customFormat="false" ht="57.75" hidden="false" customHeight="true" outlineLevel="0" collapsed="false">
      <c r="A13" s="6" t="s">
        <v>118</v>
      </c>
      <c r="B13" s="7" t="s">
        <v>43</v>
      </c>
      <c r="C13" s="6" t="s">
        <v>282</v>
      </c>
      <c r="D13" s="6" t="s">
        <v>283</v>
      </c>
      <c r="E13" s="6" t="s">
        <v>208</v>
      </c>
      <c r="F13" s="6" t="s">
        <v>70</v>
      </c>
      <c r="G13" s="6" t="s">
        <v>77</v>
      </c>
      <c r="H13" s="6" t="s">
        <v>284</v>
      </c>
      <c r="I13" s="8"/>
      <c r="J13" s="8" t="s">
        <v>50</v>
      </c>
      <c r="K13" s="8"/>
      <c r="L13" s="8"/>
      <c r="M13" s="8"/>
      <c r="N13" s="8"/>
    </row>
  </sheetData>
  <dataValidations count="1">
    <dataValidation allowBlank="true" errorStyle="stop" operator="between" showDropDown="false" showErrorMessage="false" showInputMessage="false" sqref="J2:J18" type="list">
      <formula1>"Not started,Researching,Email sent,Follow-up sent,Call scheduled,In discussion,Diligence,Term sheet,Won,Passed - us,Passed - them,No response"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8"/>
    <col collapsed="false" customWidth="true" hidden="false" outlineLevel="0" max="3" min="3" style="0" width="82"/>
    <col collapsed="false" customWidth="true" hidden="false" outlineLevel="0" max="4" min="4" style="0" width="44"/>
  </cols>
  <sheetData>
    <row r="1" customFormat="false" ht="30" hidden="false" customHeight="true" outlineLevel="0" collapsed="false">
      <c r="A1" s="5" t="s">
        <v>28</v>
      </c>
      <c r="B1" s="5" t="s">
        <v>285</v>
      </c>
      <c r="C1" s="5" t="s">
        <v>286</v>
      </c>
      <c r="D1" s="5" t="s">
        <v>287</v>
      </c>
    </row>
    <row r="2" customFormat="false" ht="61.5" hidden="false" customHeight="true" outlineLevel="0" collapsed="false">
      <c r="A2" s="11" t="s">
        <v>288</v>
      </c>
      <c r="B2" s="6" t="s">
        <v>289</v>
      </c>
      <c r="C2" s="6" t="s">
        <v>290</v>
      </c>
      <c r="D2" s="6" t="s">
        <v>291</v>
      </c>
    </row>
    <row r="3" customFormat="false" ht="61.5" hidden="false" customHeight="true" outlineLevel="0" collapsed="false">
      <c r="A3" s="11" t="s">
        <v>292</v>
      </c>
      <c r="B3" s="6" t="s">
        <v>293</v>
      </c>
      <c r="C3" s="6" t="s">
        <v>294</v>
      </c>
      <c r="D3" s="6" t="s">
        <v>295</v>
      </c>
    </row>
    <row r="4" customFormat="false" ht="61.5" hidden="false" customHeight="true" outlineLevel="0" collapsed="false">
      <c r="A4" s="11" t="s">
        <v>296</v>
      </c>
      <c r="B4" s="6" t="s">
        <v>297</v>
      </c>
      <c r="C4" s="6" t="s">
        <v>298</v>
      </c>
      <c r="D4" s="6" t="s">
        <v>299</v>
      </c>
    </row>
    <row r="5" customFormat="false" ht="61.5" hidden="false" customHeight="true" outlineLevel="0" collapsed="false">
      <c r="A5" s="11" t="s">
        <v>300</v>
      </c>
      <c r="B5" s="6" t="s">
        <v>301</v>
      </c>
      <c r="C5" s="6" t="s">
        <v>302</v>
      </c>
      <c r="D5" s="6" t="s">
        <v>295</v>
      </c>
    </row>
    <row r="6" customFormat="false" ht="61.5" hidden="false" customHeight="true" outlineLevel="0" collapsed="false">
      <c r="A6" s="11" t="s">
        <v>303</v>
      </c>
      <c r="B6" s="6" t="s">
        <v>304</v>
      </c>
      <c r="C6" s="6" t="s">
        <v>305</v>
      </c>
      <c r="D6" s="6" t="s">
        <v>306</v>
      </c>
    </row>
    <row r="7" customFormat="false" ht="61.5" hidden="false" customHeight="true" outlineLevel="0" collapsed="false">
      <c r="A7" s="11" t="s">
        <v>307</v>
      </c>
      <c r="B7" s="6" t="s">
        <v>308</v>
      </c>
      <c r="C7" s="6" t="s">
        <v>309</v>
      </c>
      <c r="D7" s="6" t="s">
        <v>310</v>
      </c>
    </row>
    <row r="8" customFormat="false" ht="61.5" hidden="false" customHeight="true" outlineLevel="0" collapsed="false">
      <c r="A8" s="11" t="s">
        <v>311</v>
      </c>
      <c r="B8" s="6" t="s">
        <v>312</v>
      </c>
      <c r="C8" s="6" t="s">
        <v>313</v>
      </c>
      <c r="D8" s="6" t="s">
        <v>295</v>
      </c>
    </row>
    <row r="9" customFormat="false" ht="61.5" hidden="false" customHeight="true" outlineLevel="0" collapsed="false">
      <c r="A9" s="11" t="s">
        <v>314</v>
      </c>
      <c r="B9" s="6" t="s">
        <v>315</v>
      </c>
      <c r="C9" s="6" t="s">
        <v>316</v>
      </c>
      <c r="D9" s="6" t="s">
        <v>295</v>
      </c>
    </row>
    <row r="10" customFormat="false" ht="61.5" hidden="false" customHeight="true" outlineLevel="0" collapsed="false">
      <c r="A10" s="11" t="s">
        <v>317</v>
      </c>
      <c r="B10" s="6" t="s">
        <v>318</v>
      </c>
      <c r="C10" s="6" t="s">
        <v>319</v>
      </c>
      <c r="D10" s="6" t="s">
        <v>320</v>
      </c>
    </row>
    <row r="11" customFormat="false" ht="61.5" hidden="false" customHeight="true" outlineLevel="0" collapsed="false">
      <c r="A11" s="11" t="s">
        <v>321</v>
      </c>
      <c r="B11" s="6" t="s">
        <v>322</v>
      </c>
      <c r="C11" s="6" t="s">
        <v>323</v>
      </c>
      <c r="D11" s="6" t="s">
        <v>324</v>
      </c>
    </row>
    <row r="12" customFormat="false" ht="61.5" hidden="false" customHeight="true" outlineLevel="0" collapsed="false">
      <c r="A12" s="11" t="s">
        <v>325</v>
      </c>
      <c r="B12" s="6" t="s">
        <v>326</v>
      </c>
      <c r="C12" s="6" t="s">
        <v>327</v>
      </c>
      <c r="D12" s="6" t="s">
        <v>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7"/>
    <col collapsed="false" customWidth="true" hidden="false" outlineLevel="0" max="4" min="4" style="0" width="30"/>
    <col collapsed="false" customWidth="true" hidden="false" outlineLevel="0" max="5" min="5" style="0" width="26"/>
    <col collapsed="false" customWidth="true" hidden="false" outlineLevel="0" max="6" min="6" style="0" width="62"/>
    <col collapsed="false" customWidth="true" hidden="false" outlineLevel="0" max="7" min="7" style="0" width="48"/>
    <col collapsed="false" customWidth="true" hidden="false" outlineLevel="0" max="8" min="8" style="0" width="12"/>
    <col collapsed="false" customWidth="true" hidden="false" outlineLevel="0" max="9" min="9" style="0" width="16"/>
    <col collapsed="false" customWidth="true" hidden="false" outlineLevel="0" max="10" min="10" style="0" width="20"/>
    <col collapsed="false" customWidth="true" hidden="false" outlineLevel="0" max="11" min="11" style="0" width="34"/>
  </cols>
  <sheetData>
    <row r="1" customFormat="false" ht="30" hidden="false" customHeight="true" outlineLevel="0" collapsed="false">
      <c r="A1" s="5" t="s">
        <v>329</v>
      </c>
      <c r="B1" s="5" t="s">
        <v>212</v>
      </c>
      <c r="C1" s="5" t="s">
        <v>29</v>
      </c>
      <c r="D1" s="5" t="s">
        <v>330</v>
      </c>
      <c r="E1" s="5" t="s">
        <v>331</v>
      </c>
      <c r="F1" s="5" t="s">
        <v>332</v>
      </c>
      <c r="G1" s="5" t="s">
        <v>333</v>
      </c>
      <c r="H1" s="5" t="s">
        <v>36</v>
      </c>
      <c r="I1" s="5" t="s">
        <v>37</v>
      </c>
      <c r="J1" s="5" t="s">
        <v>334</v>
      </c>
      <c r="K1" s="5" t="s">
        <v>41</v>
      </c>
    </row>
    <row r="2" customFormat="false" ht="66" hidden="false" customHeight="true" outlineLevel="0" collapsed="false">
      <c r="A2" s="6" t="s">
        <v>335</v>
      </c>
      <c r="B2" s="6" t="s">
        <v>336</v>
      </c>
      <c r="C2" s="7" t="s">
        <v>337</v>
      </c>
      <c r="D2" s="6" t="s">
        <v>338</v>
      </c>
      <c r="E2" s="6" t="s">
        <v>339</v>
      </c>
      <c r="F2" s="6" t="s">
        <v>340</v>
      </c>
      <c r="G2" s="6" t="s">
        <v>341</v>
      </c>
      <c r="H2" s="8"/>
      <c r="I2" s="8" t="s">
        <v>50</v>
      </c>
      <c r="J2" s="8"/>
      <c r="K2" s="8"/>
    </row>
    <row r="3" customFormat="false" ht="66" hidden="false" customHeight="true" outlineLevel="0" collapsed="false">
      <c r="A3" s="6" t="s">
        <v>342</v>
      </c>
      <c r="B3" s="6" t="s">
        <v>336</v>
      </c>
      <c r="C3" s="7" t="s">
        <v>343</v>
      </c>
      <c r="D3" s="6" t="s">
        <v>344</v>
      </c>
      <c r="E3" s="6" t="s">
        <v>345</v>
      </c>
      <c r="F3" s="6" t="s">
        <v>346</v>
      </c>
      <c r="G3" s="6" t="s">
        <v>347</v>
      </c>
      <c r="H3" s="8"/>
      <c r="I3" s="8" t="s">
        <v>50</v>
      </c>
      <c r="J3" s="8"/>
      <c r="K3" s="8"/>
    </row>
    <row r="4" customFormat="false" ht="66" hidden="false" customHeight="true" outlineLevel="0" collapsed="false">
      <c r="A4" s="6" t="s">
        <v>348</v>
      </c>
      <c r="B4" s="6" t="s">
        <v>349</v>
      </c>
      <c r="C4" s="7" t="s">
        <v>343</v>
      </c>
      <c r="D4" s="6" t="s">
        <v>350</v>
      </c>
      <c r="E4" s="6" t="s">
        <v>351</v>
      </c>
      <c r="F4" s="6" t="s">
        <v>352</v>
      </c>
      <c r="G4" s="6" t="s">
        <v>353</v>
      </c>
      <c r="H4" s="8"/>
      <c r="I4" s="8" t="s">
        <v>50</v>
      </c>
      <c r="J4" s="8"/>
      <c r="K4" s="8"/>
    </row>
    <row r="5" customFormat="false" ht="66" hidden="false" customHeight="true" outlineLevel="0" collapsed="false">
      <c r="A5" s="6" t="s">
        <v>354</v>
      </c>
      <c r="B5" s="6" t="s">
        <v>349</v>
      </c>
      <c r="C5" s="9" t="s">
        <v>355</v>
      </c>
      <c r="D5" s="6" t="s">
        <v>356</v>
      </c>
      <c r="E5" s="6" t="s">
        <v>357</v>
      </c>
      <c r="F5" s="6" t="s">
        <v>358</v>
      </c>
      <c r="G5" s="6" t="s">
        <v>359</v>
      </c>
      <c r="H5" s="8"/>
      <c r="I5" s="8" t="s">
        <v>50</v>
      </c>
      <c r="J5" s="8"/>
      <c r="K5" s="8"/>
    </row>
    <row r="6" customFormat="false" ht="66" hidden="false" customHeight="true" outlineLevel="0" collapsed="false">
      <c r="A6" s="6" t="s">
        <v>360</v>
      </c>
      <c r="B6" s="6" t="s">
        <v>349</v>
      </c>
      <c r="C6" s="9" t="s">
        <v>355</v>
      </c>
      <c r="D6" s="6" t="s">
        <v>361</v>
      </c>
      <c r="E6" s="6" t="s">
        <v>362</v>
      </c>
      <c r="F6" s="6" t="s">
        <v>363</v>
      </c>
      <c r="G6" s="6" t="s">
        <v>364</v>
      </c>
      <c r="H6" s="8"/>
      <c r="I6" s="8" t="s">
        <v>50</v>
      </c>
      <c r="J6" s="8"/>
      <c r="K6" s="8"/>
    </row>
    <row r="7" customFormat="false" ht="66" hidden="false" customHeight="true" outlineLevel="0" collapsed="false">
      <c r="A7" s="6" t="s">
        <v>365</v>
      </c>
      <c r="B7" s="6" t="s">
        <v>349</v>
      </c>
      <c r="C7" s="10" t="s">
        <v>366</v>
      </c>
      <c r="D7" s="6" t="s">
        <v>367</v>
      </c>
      <c r="E7" s="6" t="s">
        <v>368</v>
      </c>
      <c r="F7" s="6" t="s">
        <v>369</v>
      </c>
      <c r="G7" s="6" t="s">
        <v>370</v>
      </c>
      <c r="H7" s="8"/>
      <c r="I7" s="8" t="s">
        <v>50</v>
      </c>
      <c r="J7" s="8"/>
      <c r="K7" s="8"/>
    </row>
    <row r="8" customFormat="false" ht="66" hidden="false" customHeight="true" outlineLevel="0" collapsed="false">
      <c r="A8" s="6" t="s">
        <v>371</v>
      </c>
      <c r="B8" s="6" t="s">
        <v>372</v>
      </c>
      <c r="C8" s="10" t="s">
        <v>366</v>
      </c>
      <c r="D8" s="6" t="s">
        <v>373</v>
      </c>
      <c r="E8" s="6" t="s">
        <v>374</v>
      </c>
      <c r="F8" s="6" t="s">
        <v>375</v>
      </c>
      <c r="G8" s="6" t="s">
        <v>376</v>
      </c>
      <c r="H8" s="8"/>
      <c r="I8" s="8" t="s">
        <v>50</v>
      </c>
      <c r="J8" s="8"/>
      <c r="K8" s="8"/>
    </row>
    <row r="9" customFormat="false" ht="66" hidden="false" customHeight="true" outlineLevel="0" collapsed="false">
      <c r="A9" s="6" t="s">
        <v>377</v>
      </c>
      <c r="B9" s="6" t="s">
        <v>378</v>
      </c>
      <c r="C9" s="10" t="s">
        <v>379</v>
      </c>
      <c r="D9" s="6" t="s">
        <v>380</v>
      </c>
      <c r="E9" s="6" t="s">
        <v>381</v>
      </c>
      <c r="F9" s="6" t="s">
        <v>382</v>
      </c>
      <c r="G9" s="6" t="s">
        <v>383</v>
      </c>
      <c r="H9" s="8"/>
      <c r="I9" s="8" t="s">
        <v>50</v>
      </c>
      <c r="J9" s="8"/>
      <c r="K9" s="8"/>
    </row>
    <row r="10" customFormat="false" ht="66" hidden="false" customHeight="true" outlineLevel="0" collapsed="false">
      <c r="A10" s="6" t="s">
        <v>384</v>
      </c>
      <c r="B10" s="6" t="s">
        <v>385</v>
      </c>
      <c r="C10" s="10" t="s">
        <v>379</v>
      </c>
      <c r="D10" s="6" t="s">
        <v>373</v>
      </c>
      <c r="E10" s="6" t="s">
        <v>339</v>
      </c>
      <c r="F10" s="6" t="s">
        <v>386</v>
      </c>
      <c r="G10" s="6" t="s">
        <v>387</v>
      </c>
      <c r="H10" s="8"/>
      <c r="I10" s="8" t="s">
        <v>50</v>
      </c>
      <c r="J10" s="8"/>
      <c r="K10" s="8"/>
    </row>
    <row r="11" customFormat="false" ht="66" hidden="false" customHeight="true" outlineLevel="0" collapsed="false">
      <c r="A11" s="6" t="s">
        <v>118</v>
      </c>
      <c r="B11" s="6" t="s">
        <v>349</v>
      </c>
      <c r="C11" s="7" t="s">
        <v>343</v>
      </c>
      <c r="D11" s="6" t="s">
        <v>388</v>
      </c>
      <c r="E11" s="6" t="s">
        <v>389</v>
      </c>
      <c r="F11" s="6" t="s">
        <v>208</v>
      </c>
      <c r="G11" s="6" t="s">
        <v>390</v>
      </c>
      <c r="H11" s="8"/>
      <c r="I11" s="8" t="s">
        <v>50</v>
      </c>
      <c r="J11" s="8"/>
      <c r="K11" s="8"/>
    </row>
  </sheetData>
  <dataValidations count="1">
    <dataValidation allowBlank="true" errorStyle="stop" operator="between" showDropDown="false" showErrorMessage="false" showInputMessage="false" sqref="I2:I16" type="list">
      <formula1>"Not started,Researching,Email sent,Follow-up sent,Call scheduled,In discussion,Diligence,Term sheet,Won,Passed - us,Passed - them,No response"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3" min="3" style="0" width="72"/>
    <col collapsed="false" customWidth="true" hidden="false" outlineLevel="0" max="4" min="4" style="0" width="52"/>
  </cols>
  <sheetData>
    <row r="1" customFormat="false" ht="30" hidden="false" customHeight="true" outlineLevel="0" collapsed="false">
      <c r="A1" s="5" t="s">
        <v>391</v>
      </c>
      <c r="B1" s="5" t="s">
        <v>392</v>
      </c>
      <c r="C1" s="5" t="s">
        <v>332</v>
      </c>
      <c r="D1" s="5" t="s">
        <v>393</v>
      </c>
    </row>
    <row r="2" customFormat="false" ht="72" hidden="false" customHeight="true" outlineLevel="0" collapsed="false">
      <c r="A2" s="12" t="n">
        <v>1</v>
      </c>
      <c r="B2" s="13" t="s">
        <v>394</v>
      </c>
      <c r="C2" s="6" t="s">
        <v>395</v>
      </c>
      <c r="D2" s="6" t="s">
        <v>396</v>
      </c>
    </row>
    <row r="3" customFormat="false" ht="72" hidden="false" customHeight="true" outlineLevel="0" collapsed="false">
      <c r="A3" s="12" t="n">
        <v>2</v>
      </c>
      <c r="B3" s="6" t="s">
        <v>397</v>
      </c>
      <c r="C3" s="6" t="s">
        <v>398</v>
      </c>
      <c r="D3" s="6" t="s">
        <v>399</v>
      </c>
    </row>
    <row r="4" customFormat="false" ht="72" hidden="false" customHeight="true" outlineLevel="0" collapsed="false">
      <c r="A4" s="12" t="n">
        <v>3</v>
      </c>
      <c r="B4" s="6" t="s">
        <v>400</v>
      </c>
      <c r="C4" s="6" t="s">
        <v>401</v>
      </c>
      <c r="D4" s="6" t="s">
        <v>402</v>
      </c>
    </row>
    <row r="5" customFormat="false" ht="72" hidden="false" customHeight="true" outlineLevel="0" collapsed="false">
      <c r="A5" s="12" t="n">
        <v>4</v>
      </c>
      <c r="B5" s="6" t="s">
        <v>403</v>
      </c>
      <c r="C5" s="6" t="s">
        <v>404</v>
      </c>
      <c r="D5" s="6" t="s">
        <v>405</v>
      </c>
    </row>
    <row r="6" customFormat="false" ht="72" hidden="false" customHeight="true" outlineLevel="0" collapsed="false">
      <c r="A6" s="12" t="n">
        <v>5</v>
      </c>
      <c r="B6" s="6" t="s">
        <v>406</v>
      </c>
      <c r="C6" s="6" t="s">
        <v>407</v>
      </c>
      <c r="D6" s="6" t="s">
        <v>408</v>
      </c>
    </row>
    <row r="7" customFormat="false" ht="72" hidden="false" customHeight="true" outlineLevel="0" collapsed="false">
      <c r="A7" s="12" t="n">
        <v>6</v>
      </c>
      <c r="B7" s="6" t="s">
        <v>409</v>
      </c>
      <c r="C7" s="6" t="s">
        <v>410</v>
      </c>
      <c r="D7" s="6" t="s">
        <v>411</v>
      </c>
    </row>
    <row r="8" customFormat="false" ht="72" hidden="false" customHeight="true" outlineLevel="0" collapsed="false">
      <c r="A8" s="12" t="n">
        <v>7</v>
      </c>
      <c r="B8" s="6" t="s">
        <v>412</v>
      </c>
      <c r="C8" s="6" t="s">
        <v>413</v>
      </c>
      <c r="D8" s="6" t="s">
        <v>414</v>
      </c>
    </row>
    <row r="9" customFormat="false" ht="72" hidden="false" customHeight="true" outlineLevel="0" collapsed="false">
      <c r="A9" s="12" t="n">
        <v>8</v>
      </c>
      <c r="B9" s="6" t="s">
        <v>415</v>
      </c>
      <c r="C9" s="6" t="s">
        <v>416</v>
      </c>
      <c r="D9" s="6" t="s">
        <v>417</v>
      </c>
    </row>
    <row r="10" customFormat="false" ht="72" hidden="false" customHeight="true" outlineLevel="0" collapsed="false">
      <c r="A10" s="12" t="n">
        <v>9</v>
      </c>
      <c r="B10" s="6" t="s">
        <v>418</v>
      </c>
      <c r="C10" s="6" t="s">
        <v>419</v>
      </c>
      <c r="D10" s="6" t="s">
        <v>420</v>
      </c>
    </row>
    <row r="11" customFormat="false" ht="72" hidden="false" customHeight="true" outlineLevel="0" collapsed="false">
      <c r="A11" s="12" t="n">
        <v>10</v>
      </c>
      <c r="B11" s="6" t="s">
        <v>421</v>
      </c>
      <c r="C11" s="6" t="s">
        <v>422</v>
      </c>
      <c r="D11" s="6" t="s">
        <v>423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6"/>
    <col collapsed="false" customWidth="true" hidden="false" outlineLevel="0" max="4" min="2" style="0" width="22"/>
    <col collapsed="false" customWidth="true" hidden="false" outlineLevel="0" max="5" min="5" style="0" width="14"/>
  </cols>
  <sheetData>
    <row r="1" customFormat="false" ht="17.35" hidden="false" customHeight="false" outlineLevel="0" collapsed="false">
      <c r="A1" s="1" t="s">
        <v>424</v>
      </c>
    </row>
    <row r="2" customFormat="false" ht="15" hidden="false" customHeight="false" outlineLevel="0" collapsed="false">
      <c r="A2" s="14" t="s">
        <v>425</v>
      </c>
    </row>
    <row r="4" customFormat="false" ht="30" hidden="false" customHeight="true" outlineLevel="0" collapsed="false">
      <c r="A4" s="15" t="s">
        <v>37</v>
      </c>
      <c r="B4" s="15" t="s">
        <v>426</v>
      </c>
      <c r="C4" s="15" t="s">
        <v>427</v>
      </c>
      <c r="D4" s="15" t="s">
        <v>428</v>
      </c>
      <c r="E4" s="15" t="s">
        <v>429</v>
      </c>
    </row>
    <row r="5" customFormat="false" ht="15" hidden="false" customHeight="false" outlineLevel="0" collapsed="false">
      <c r="A5" s="16" t="s">
        <v>50</v>
      </c>
      <c r="B5" s="17" t="n">
        <f aca="false">COUNTIF('Track 1 - Program Banks'!$J$2:$J$14,$A5)</f>
        <v>13</v>
      </c>
      <c r="C5" s="17" t="n">
        <f aca="false">COUNTIF('Track 2 - Middleware'!$J$2:$J$13,$A5)</f>
        <v>12</v>
      </c>
      <c r="D5" s="17" t="n">
        <f aca="false">COUNTIF('Track 3 - CDFI MDI'!$J$2:$J$13,$A5)</f>
        <v>12</v>
      </c>
      <c r="E5" s="17" t="n">
        <f aca="false">SUM(B5:D5)</f>
        <v>37</v>
      </c>
    </row>
    <row r="6" customFormat="false" ht="15" hidden="false" customHeight="false" outlineLevel="0" collapsed="false">
      <c r="A6" s="16" t="s">
        <v>430</v>
      </c>
      <c r="B6" s="17" t="n">
        <f aca="false">COUNTIF('Track 1 - Program Banks'!$J$2:$J$14,$A6)</f>
        <v>0</v>
      </c>
      <c r="C6" s="17" t="n">
        <f aca="false">COUNTIF('Track 2 - Middleware'!$J$2:$J$13,$A6)</f>
        <v>0</v>
      </c>
      <c r="D6" s="17" t="n">
        <f aca="false">COUNTIF('Track 3 - CDFI MDI'!$J$2:$J$13,$A6)</f>
        <v>0</v>
      </c>
      <c r="E6" s="17" t="n">
        <f aca="false">SUM(B6:D6)</f>
        <v>0</v>
      </c>
    </row>
    <row r="7" customFormat="false" ht="15" hidden="false" customHeight="false" outlineLevel="0" collapsed="false">
      <c r="A7" s="16" t="s">
        <v>431</v>
      </c>
      <c r="B7" s="17" t="n">
        <f aca="false">COUNTIF('Track 1 - Program Banks'!$J$2:$J$14,$A7)</f>
        <v>0</v>
      </c>
      <c r="C7" s="17" t="n">
        <f aca="false">COUNTIF('Track 2 - Middleware'!$J$2:$J$13,$A7)</f>
        <v>0</v>
      </c>
      <c r="D7" s="17" t="n">
        <f aca="false">COUNTIF('Track 3 - CDFI MDI'!$J$2:$J$13,$A7)</f>
        <v>0</v>
      </c>
      <c r="E7" s="17" t="n">
        <f aca="false">SUM(B7:D7)</f>
        <v>0</v>
      </c>
    </row>
    <row r="8" customFormat="false" ht="15" hidden="false" customHeight="false" outlineLevel="0" collapsed="false">
      <c r="A8" s="16" t="s">
        <v>432</v>
      </c>
      <c r="B8" s="17" t="n">
        <f aca="false">COUNTIF('Track 1 - Program Banks'!$J$2:$J$14,$A8)</f>
        <v>0</v>
      </c>
      <c r="C8" s="17" t="n">
        <f aca="false">COUNTIF('Track 2 - Middleware'!$J$2:$J$13,$A8)</f>
        <v>0</v>
      </c>
      <c r="D8" s="17" t="n">
        <f aca="false">COUNTIF('Track 3 - CDFI MDI'!$J$2:$J$13,$A8)</f>
        <v>0</v>
      </c>
      <c r="E8" s="17" t="n">
        <f aca="false">SUM(B8:D8)</f>
        <v>0</v>
      </c>
    </row>
    <row r="9" customFormat="false" ht="15" hidden="false" customHeight="false" outlineLevel="0" collapsed="false">
      <c r="A9" s="16" t="s">
        <v>433</v>
      </c>
      <c r="B9" s="17" t="n">
        <f aca="false">COUNTIF('Track 1 - Program Banks'!$J$2:$J$14,$A9)</f>
        <v>0</v>
      </c>
      <c r="C9" s="17" t="n">
        <f aca="false">COUNTIF('Track 2 - Middleware'!$J$2:$J$13,$A9)</f>
        <v>0</v>
      </c>
      <c r="D9" s="17" t="n">
        <f aca="false">COUNTIF('Track 3 - CDFI MDI'!$J$2:$J$13,$A9)</f>
        <v>0</v>
      </c>
      <c r="E9" s="17" t="n">
        <f aca="false">SUM(B9:D9)</f>
        <v>0</v>
      </c>
    </row>
    <row r="10" customFormat="false" ht="15" hidden="false" customHeight="false" outlineLevel="0" collapsed="false">
      <c r="A10" s="16" t="s">
        <v>434</v>
      </c>
      <c r="B10" s="17" t="n">
        <f aca="false">COUNTIF('Track 1 - Program Banks'!$J$2:$J$14,$A10)</f>
        <v>0</v>
      </c>
      <c r="C10" s="17" t="n">
        <f aca="false">COUNTIF('Track 2 - Middleware'!$J$2:$J$13,$A10)</f>
        <v>0</v>
      </c>
      <c r="D10" s="17" t="n">
        <f aca="false">COUNTIF('Track 3 - CDFI MDI'!$J$2:$J$13,$A10)</f>
        <v>0</v>
      </c>
      <c r="E10" s="17" t="n">
        <f aca="false">SUM(B10:D10)</f>
        <v>0</v>
      </c>
    </row>
    <row r="11" customFormat="false" ht="15" hidden="false" customHeight="false" outlineLevel="0" collapsed="false">
      <c r="A11" s="16" t="s">
        <v>435</v>
      </c>
      <c r="B11" s="17" t="n">
        <f aca="false">COUNTIF('Track 1 - Program Banks'!$J$2:$J$14,$A11)</f>
        <v>0</v>
      </c>
      <c r="C11" s="17" t="n">
        <f aca="false">COUNTIF('Track 2 - Middleware'!$J$2:$J$13,$A11)</f>
        <v>0</v>
      </c>
      <c r="D11" s="17" t="n">
        <f aca="false">COUNTIF('Track 3 - CDFI MDI'!$J$2:$J$13,$A11)</f>
        <v>0</v>
      </c>
      <c r="E11" s="17" t="n">
        <f aca="false">SUM(B11:D11)</f>
        <v>0</v>
      </c>
    </row>
    <row r="12" customFormat="false" ht="15" hidden="false" customHeight="false" outlineLevel="0" collapsed="false">
      <c r="A12" s="16" t="s">
        <v>436</v>
      </c>
      <c r="B12" s="17" t="n">
        <f aca="false">COUNTIF('Track 1 - Program Banks'!$J$2:$J$14,$A12)</f>
        <v>0</v>
      </c>
      <c r="C12" s="17" t="n">
        <f aca="false">COUNTIF('Track 2 - Middleware'!$J$2:$J$13,$A12)</f>
        <v>0</v>
      </c>
      <c r="D12" s="17" t="n">
        <f aca="false">COUNTIF('Track 3 - CDFI MDI'!$J$2:$J$13,$A12)</f>
        <v>0</v>
      </c>
      <c r="E12" s="17" t="n">
        <f aca="false">SUM(B12:D12)</f>
        <v>0</v>
      </c>
    </row>
    <row r="13" customFormat="false" ht="15" hidden="false" customHeight="false" outlineLevel="0" collapsed="false">
      <c r="A13" s="16" t="s">
        <v>437</v>
      </c>
      <c r="B13" s="17" t="n">
        <f aca="false">COUNTIF('Track 1 - Program Banks'!$J$2:$J$14,$A13)</f>
        <v>0</v>
      </c>
      <c r="C13" s="17" t="n">
        <f aca="false">COUNTIF('Track 2 - Middleware'!$J$2:$J$13,$A13)</f>
        <v>0</v>
      </c>
      <c r="D13" s="17" t="n">
        <f aca="false">COUNTIF('Track 3 - CDFI MDI'!$J$2:$J$13,$A13)</f>
        <v>0</v>
      </c>
      <c r="E13" s="17" t="n">
        <f aca="false">SUM(B13:D13)</f>
        <v>0</v>
      </c>
    </row>
    <row r="14" customFormat="false" ht="15" hidden="false" customHeight="false" outlineLevel="0" collapsed="false">
      <c r="A14" s="16" t="s">
        <v>438</v>
      </c>
      <c r="B14" s="17" t="n">
        <f aca="false">COUNTIF('Track 1 - Program Banks'!$J$2:$J$14,$A14)</f>
        <v>0</v>
      </c>
      <c r="C14" s="17" t="n">
        <f aca="false">COUNTIF('Track 2 - Middleware'!$J$2:$J$13,$A14)</f>
        <v>0</v>
      </c>
      <c r="D14" s="17" t="n">
        <f aca="false">COUNTIF('Track 3 - CDFI MDI'!$J$2:$J$13,$A14)</f>
        <v>0</v>
      </c>
      <c r="E14" s="17" t="n">
        <f aca="false">SUM(B14:D14)</f>
        <v>0</v>
      </c>
    </row>
    <row r="15" customFormat="false" ht="15" hidden="false" customHeight="false" outlineLevel="0" collapsed="false">
      <c r="A15" s="16" t="s">
        <v>439</v>
      </c>
      <c r="B15" s="17" t="n">
        <f aca="false">COUNTIF('Track 1 - Program Banks'!$J$2:$J$14,$A15)</f>
        <v>0</v>
      </c>
      <c r="C15" s="17" t="n">
        <f aca="false">COUNTIF('Track 2 - Middleware'!$J$2:$J$13,$A15)</f>
        <v>0</v>
      </c>
      <c r="D15" s="17" t="n">
        <f aca="false">COUNTIF('Track 3 - CDFI MDI'!$J$2:$J$13,$A15)</f>
        <v>0</v>
      </c>
      <c r="E15" s="17" t="n">
        <f aca="false">SUM(B15:D15)</f>
        <v>0</v>
      </c>
    </row>
    <row r="16" customFormat="false" ht="15" hidden="false" customHeight="false" outlineLevel="0" collapsed="false">
      <c r="A16" s="16" t="s">
        <v>440</v>
      </c>
      <c r="B16" s="17" t="n">
        <f aca="false">COUNTIF('Track 1 - Program Banks'!$J$2:$J$14,$A16)</f>
        <v>0</v>
      </c>
      <c r="C16" s="17" t="n">
        <f aca="false">COUNTIF('Track 2 - Middleware'!$J$2:$J$13,$A16)</f>
        <v>0</v>
      </c>
      <c r="D16" s="17" t="n">
        <f aca="false">COUNTIF('Track 3 - CDFI MDI'!$J$2:$J$13,$A16)</f>
        <v>0</v>
      </c>
      <c r="E16" s="17" t="n">
        <f aca="false">SUM(B16:D16)</f>
        <v>0</v>
      </c>
    </row>
    <row r="17" customFormat="false" ht="15" hidden="false" customHeight="false" outlineLevel="0" collapsed="false">
      <c r="A17" s="18" t="s">
        <v>441</v>
      </c>
      <c r="B17" s="19" t="n">
        <f aca="false">SUM(B5:B16)</f>
        <v>13</v>
      </c>
      <c r="C17" s="19" t="n">
        <f aca="false">SUM(C5:C16)</f>
        <v>12</v>
      </c>
      <c r="D17" s="19" t="n">
        <f aca="false">SUM(D5:D16)</f>
        <v>12</v>
      </c>
      <c r="E17" s="19" t="n">
        <f aca="false">SUM(E5:E16)</f>
        <v>37</v>
      </c>
    </row>
    <row r="20" customFormat="false" ht="15" hidden="false" customHeight="false" outlineLevel="0" collapsed="false">
      <c r="A20" s="3" t="s">
        <v>442</v>
      </c>
      <c r="B20" s="20" t="n">
        <f aca="false">SUM(B7:B12)+SUM(C7:C12)+SUM(D7:D12)</f>
        <v>0</v>
      </c>
    </row>
    <row r="22" customFormat="false" ht="15" hidden="false" customHeight="false" outlineLevel="0" collapsed="false">
      <c r="A22" s="3" t="s">
        <v>443</v>
      </c>
    </row>
    <row r="23" customFormat="false" ht="15" hidden="false" customHeight="false" outlineLevel="0" collapsed="false">
      <c r="A23" s="2" t="s">
        <v>444</v>
      </c>
    </row>
    <row r="24" customFormat="false" ht="15" hidden="false" customHeight="false" outlineLevel="0" collapsed="false">
      <c r="A24" s="2" t="s">
        <v>445</v>
      </c>
    </row>
    <row r="25" customFormat="false" ht="15" hidden="false" customHeight="false" outlineLevel="0" collapsed="false">
      <c r="A25" s="2" t="s">
        <v>446</v>
      </c>
    </row>
    <row r="26" customFormat="false" ht="15" hidden="false" customHeight="false" outlineLevel="0" collapsed="false">
      <c r="A26" s="2" t="s">
        <v>447</v>
      </c>
    </row>
    <row r="27" customFormat="false" ht="15" hidden="false" customHeight="false" outlineLevel="0" collapsed="false">
      <c r="A27" s="2" t="s">
        <v>448</v>
      </c>
    </row>
    <row r="28" customFormat="false" ht="15" hidden="false" customHeight="false" outlineLevel="0" collapsed="false">
      <c r="A28" s="2" t="s">
        <v>449</v>
      </c>
    </row>
    <row r="29" customFormat="false" ht="15" hidden="false" customHeight="false" outlineLevel="0" collapsed="false">
      <c r="A29" s="2" t="s">
        <v>450</v>
      </c>
    </row>
    <row r="30" customFormat="false" ht="15" hidden="false" customHeight="false" outlineLevel="0" collapsed="false">
      <c r="A30" s="2" t="s">
        <v>451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2026-08-12T22:58:56Z</dcterms:created>
  <dc:creator>openpyxl</dc:creator>
  <dc:description/>
  <dc:language>en-US</dc:language>
  <cp:lastModifiedBy/>
  <dcterms:modified xsi:type="dcterms:W3CDTF">2026-08-12T22:58:56Z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